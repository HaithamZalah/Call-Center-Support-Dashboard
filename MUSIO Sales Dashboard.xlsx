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11e35d827a9515d/Desktop/"/>
    </mc:Choice>
  </mc:AlternateContent>
  <xr:revisionPtr revIDLastSave="1" documentId="8_{373E7B6B-8FAC-4A8F-8268-B464EA2DA041}" xr6:coauthVersionLast="47" xr6:coauthVersionMax="47" xr10:uidLastSave="{92F8E03A-820A-42E4-AE76-07F9EB636400}"/>
  <bookViews>
    <workbookView xWindow="-108" yWindow="-108" windowWidth="23256" windowHeight="12456" firstSheet="1" activeTab="1" xr2:uid="{00000000-000D-0000-FFFF-FFFF00000000}"/>
  </bookViews>
  <sheets>
    <sheet name="Sheet1" sheetId="4" state="hidden" r:id="rId1"/>
    <sheet name="Sales Data" sheetId="5" r:id="rId2"/>
    <sheet name="Sheet2" sheetId="7" r:id="rId3"/>
    <sheet name="Dashboard" sheetId="9" r:id="rId4"/>
  </sheets>
  <definedNames>
    <definedName name="ExternalData_1" localSheetId="1" hidden="1">'Sales Data'!$B$1:$V$127</definedName>
    <definedName name="NativeTimeline_ميعاد_الطلب">#N/A</definedName>
    <definedName name="Slicer_الحالة">#N/A</definedName>
    <definedName name="Slicer_صنف">#N/A</definedName>
    <definedName name="Slicer_نوع_العميل">#N/A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7" l="1"/>
  <c r="L6" i="7"/>
  <c r="J6" i="7"/>
  <c r="A6" i="7"/>
  <c r="X11" i="7"/>
  <c r="X13" i="7"/>
  <c r="T2" i="5" l="1"/>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DD72EA-BED4-434F-B507-B2F96B7BB6B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<sst xmlns="http://schemas.openxmlformats.org/spreadsheetml/2006/main" count="1845" uniqueCount="282">
  <si>
    <t>أسم العميل</t>
  </si>
  <si>
    <t>العنوان</t>
  </si>
  <si>
    <t>تاريخ التسليم</t>
  </si>
  <si>
    <t>المسئول عن التسليم</t>
  </si>
  <si>
    <t xml:space="preserve">منصة البيع </t>
  </si>
  <si>
    <t>هومزمارت</t>
  </si>
  <si>
    <t xml:space="preserve">سعر البيع </t>
  </si>
  <si>
    <t>ميعاد التسليم</t>
  </si>
  <si>
    <t>ميعاد الطلب</t>
  </si>
  <si>
    <t xml:space="preserve">خالد عبد القوى </t>
  </si>
  <si>
    <t>العجوزه - الجيزه</t>
  </si>
  <si>
    <t>مسبق الدفع</t>
  </si>
  <si>
    <t>محمود</t>
  </si>
  <si>
    <t>سموحه - اسكندريه</t>
  </si>
  <si>
    <t>سعيد</t>
  </si>
  <si>
    <t xml:space="preserve">سيدى عبد الرحمن - الساحل الشمالى </t>
  </si>
  <si>
    <t>ساندرا</t>
  </si>
  <si>
    <t xml:space="preserve">الغردقه </t>
  </si>
  <si>
    <t xml:space="preserve">تم التسليم عن طريق شركه شحن </t>
  </si>
  <si>
    <t xml:space="preserve">زينا </t>
  </si>
  <si>
    <t xml:space="preserve">شيك هومز </t>
  </si>
  <si>
    <t xml:space="preserve">احمد </t>
  </si>
  <si>
    <t>التجمع الخامس</t>
  </si>
  <si>
    <t>فيس بوك</t>
  </si>
  <si>
    <t xml:space="preserve">فشل التسليم </t>
  </si>
  <si>
    <t>yilmaz</t>
  </si>
  <si>
    <t xml:space="preserve">٦ اكتوبر الجيزه </t>
  </si>
  <si>
    <t xml:space="preserve">تاكى </t>
  </si>
  <si>
    <t>العباسيه</t>
  </si>
  <si>
    <t>تاكى</t>
  </si>
  <si>
    <t xml:space="preserve">العباسيه </t>
  </si>
  <si>
    <t xml:space="preserve">على رشوان </t>
  </si>
  <si>
    <t>مصر الجديده</t>
  </si>
  <si>
    <t>شيك هومز</t>
  </si>
  <si>
    <t xml:space="preserve">فيصل نعيم </t>
  </si>
  <si>
    <t xml:space="preserve">التجمع الخامس </t>
  </si>
  <si>
    <t xml:space="preserve">اوسكار ريتن </t>
  </si>
  <si>
    <t>ellho elkafy</t>
  </si>
  <si>
    <t xml:space="preserve">مدينه نصر </t>
  </si>
  <si>
    <t xml:space="preserve">لينا </t>
  </si>
  <si>
    <t xml:space="preserve">المقطم </t>
  </si>
  <si>
    <t xml:space="preserve">احمد فخرى </t>
  </si>
  <si>
    <t>القاهره الجديده</t>
  </si>
  <si>
    <t>حسن حازم</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</si>
  <si>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</si>
  <si>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</si>
  <si>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</si>
  <si>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</si>
  <si>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</si>
  <si>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</si>
  <si>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عبير نور الدين</t>
  </si>
  <si>
    <t xml:space="preserve">١٨ شارع البحيري بولاق الدكرور الجيزه </t>
  </si>
  <si>
    <t>اوسكار راتن</t>
  </si>
  <si>
    <t xml:space="preserve">مخزن اوسكار في القناطر </t>
  </si>
  <si>
    <t>حساب شركه</t>
  </si>
  <si>
    <t>الشروق</t>
  </si>
  <si>
    <t xml:space="preserve">ساره وجيه </t>
  </si>
  <si>
    <t xml:space="preserve">مها </t>
  </si>
  <si>
    <t xml:space="preserve">لافيستا العين السخنه </t>
  </si>
  <si>
    <t xml:space="preserve">اسراء ابو العنين </t>
  </si>
  <si>
    <t xml:space="preserve">بسام الشربينى </t>
  </si>
  <si>
    <t>وائل صادق</t>
  </si>
  <si>
    <t xml:space="preserve">هبه عبد الفتاح </t>
  </si>
  <si>
    <t xml:space="preserve">القاهره الجديده </t>
  </si>
  <si>
    <t xml:space="preserve">حاتم العيسوي </t>
  </si>
  <si>
    <t>صفاء</t>
  </si>
  <si>
    <t>المعادى</t>
  </si>
  <si>
    <t xml:space="preserve">اسراء ابراهيم </t>
  </si>
  <si>
    <t xml:space="preserve">طارق كمال </t>
  </si>
  <si>
    <t xml:space="preserve">مصطفي غنيم </t>
  </si>
  <si>
    <t xml:space="preserve">اسيوط </t>
  </si>
  <si>
    <t xml:space="preserve">مسبق الدفع </t>
  </si>
  <si>
    <t>حسام عبدون</t>
  </si>
  <si>
    <t>الغردقه</t>
  </si>
  <si>
    <t xml:space="preserve">اياد </t>
  </si>
  <si>
    <t>ميار خورشد</t>
  </si>
  <si>
    <t xml:space="preserve">عبد الله سيد </t>
  </si>
  <si>
    <t xml:space="preserve">الشيخ زايد ٦ اكتوبر </t>
  </si>
  <si>
    <t xml:space="preserve">كينج سونا </t>
  </si>
  <si>
    <t xml:space="preserve">رامى </t>
  </si>
  <si>
    <t xml:space="preserve">احمد خالد </t>
  </si>
  <si>
    <t>الرحاب</t>
  </si>
  <si>
    <t>ساره</t>
  </si>
  <si>
    <t>رحاب</t>
  </si>
  <si>
    <t xml:space="preserve">احمد ايمن </t>
  </si>
  <si>
    <t>العبور</t>
  </si>
  <si>
    <t xml:space="preserve">فؤاد المنسي </t>
  </si>
  <si>
    <t xml:space="preserve">ديفد بهجت </t>
  </si>
  <si>
    <t>فيصل الجيزه</t>
  </si>
  <si>
    <t xml:space="preserve">حسن مغرب </t>
  </si>
  <si>
    <t>صفاء الحكيم</t>
  </si>
  <si>
    <t>العين السخنه</t>
  </si>
  <si>
    <t>يوسف شناوى</t>
  </si>
  <si>
    <t xml:space="preserve">الابراهيميه . الإسكندرية </t>
  </si>
  <si>
    <t>سرير</t>
  </si>
  <si>
    <t>منطبق</t>
  </si>
  <si>
    <t>نوفال</t>
  </si>
  <si>
    <t>فردى</t>
  </si>
  <si>
    <t>كينج</t>
  </si>
  <si>
    <t>كيفنج</t>
  </si>
  <si>
    <t>اسبانى</t>
  </si>
  <si>
    <t>سحارة</t>
  </si>
  <si>
    <t>ركنة بسرير</t>
  </si>
  <si>
    <t>كنبة</t>
  </si>
  <si>
    <t>فنسيا</t>
  </si>
  <si>
    <t>4*1</t>
  </si>
  <si>
    <t>دورين</t>
  </si>
  <si>
    <t>ابيض</t>
  </si>
  <si>
    <t>اسود</t>
  </si>
  <si>
    <t>ارفيل</t>
  </si>
  <si>
    <t>ازرق</t>
  </si>
  <si>
    <t>ثلاثه ادوار</t>
  </si>
  <si>
    <t>رمادى</t>
  </si>
  <si>
    <t>بنفسجى</t>
  </si>
  <si>
    <t>دهبي</t>
  </si>
  <si>
    <t>فورجينا</t>
  </si>
  <si>
    <t>كورين</t>
  </si>
  <si>
    <t>EL-Maadi</t>
  </si>
  <si>
    <t>Madinet Badr</t>
  </si>
  <si>
    <t>2 ميكانزم</t>
  </si>
  <si>
    <t>بمكتبة</t>
  </si>
  <si>
    <t>رف سحاب</t>
  </si>
  <si>
    <t>الحالة</t>
  </si>
  <si>
    <t>فشل التسليم</t>
  </si>
  <si>
    <t>اسامه</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</si>
  <si>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</si>
  <si>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</si>
  <si>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</si>
  <si>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</si>
  <si>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</si>
  <si>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</si>
  <si>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</si>
  <si>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4×1</t>
  </si>
  <si>
    <t>الحج محمد السويس</t>
  </si>
  <si>
    <t xml:space="preserve">السويس </t>
  </si>
  <si>
    <t>السويس</t>
  </si>
  <si>
    <t>فانتاستك</t>
  </si>
  <si>
    <t>ملون</t>
  </si>
  <si>
    <t>فنيسيا</t>
  </si>
  <si>
    <t>رصاصي مشجر</t>
  </si>
  <si>
    <t>بيج</t>
  </si>
  <si>
    <t>شيزلونج</t>
  </si>
  <si>
    <t xml:space="preserve">نبيتى </t>
  </si>
  <si>
    <t>عمرو الأسود</t>
  </si>
  <si>
    <t>الزمالك</t>
  </si>
  <si>
    <t>مخزن شيك هومز</t>
  </si>
  <si>
    <t xml:space="preserve">بترولى </t>
  </si>
  <si>
    <t xml:space="preserve">تم التسليم بمعرفه الحج سيد </t>
  </si>
  <si>
    <t xml:space="preserve">أكتوبر </t>
  </si>
  <si>
    <t>التجمع</t>
  </si>
  <si>
    <t xml:space="preserve">نوفال </t>
  </si>
  <si>
    <t>١٤٠/١٠٠</t>
  </si>
  <si>
    <t>بينك</t>
  </si>
  <si>
    <t>البطاش اسكندريه</t>
  </si>
  <si>
    <t>١٠٠/١٤٠</t>
  </si>
  <si>
    <t>هشام سامى</t>
  </si>
  <si>
    <t>41 كومبوند جولدن جستس الدور 4 شقه 4</t>
  </si>
  <si>
    <t xml:space="preserve">منزلى </t>
  </si>
  <si>
    <t>بلحه</t>
  </si>
  <si>
    <t>خشب بنى فاتح</t>
  </si>
  <si>
    <t>فانتستيك</t>
  </si>
  <si>
    <t>الوان</t>
  </si>
  <si>
    <t>المعرض مدينه نصر</t>
  </si>
  <si>
    <t xml:space="preserve">اقرب وقت </t>
  </si>
  <si>
    <t>فاطمه محمد</t>
  </si>
  <si>
    <t>أكتوبر الجيزه</t>
  </si>
  <si>
    <t>الشيخ زايد اكتوبر</t>
  </si>
  <si>
    <t>بولا هومزمارت</t>
  </si>
  <si>
    <t>مسيو هومزمارت</t>
  </si>
  <si>
    <t xml:space="preserve">محمد شكرى </t>
  </si>
  <si>
    <t>ارينا</t>
  </si>
  <si>
    <t>بترولى</t>
  </si>
  <si>
    <t>مسبق</t>
  </si>
  <si>
    <t>منزلى</t>
  </si>
  <si>
    <t>مدينتى</t>
  </si>
  <si>
    <t>حماده</t>
  </si>
  <si>
    <t>صفاء عبد الباقي</t>
  </si>
  <si>
    <t xml:space="preserve">كينج </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</si>
  <si>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</si>
  <si>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</si>
  <si>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</si>
  <si>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</si>
  <si>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</si>
  <si>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</si>
  <si>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</si>
  <si>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</si>
  <si>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</si>
  <si>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</si>
  <si>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 xml:space="preserve">كوين </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</si>
  <si>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</si>
  <si>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</si>
  <si>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</si>
  <si>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</si>
  <si>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</si>
  <si>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</si>
  <si>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</si>
  <si>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</si>
  <si>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</si>
  <si>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</si>
  <si>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</si>
  <si>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</si>
  <si>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</si>
  <si>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</si>
  <si>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</si>
  <si>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</si>
  <si>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</si>
  <si>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</si>
  <si>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بنى غامق </t>
  </si>
  <si>
    <t>تامر</t>
  </si>
  <si>
    <t>٢ ميكانزم</t>
  </si>
  <si>
    <t xml:space="preserve">بيج </t>
  </si>
  <si>
    <t>هناء اسامه</t>
  </si>
  <si>
    <t>القطاميه</t>
  </si>
  <si>
    <t xml:space="preserve">محمد عادل </t>
  </si>
  <si>
    <t>مريم عنان</t>
  </si>
  <si>
    <t xml:space="preserve">اب تاون كايرو التجمع </t>
  </si>
  <si>
    <t xml:space="preserve">هبه عطيه </t>
  </si>
  <si>
    <t>دوران</t>
  </si>
  <si>
    <t>حمدى ذكرى</t>
  </si>
  <si>
    <t>روك ١٠</t>
  </si>
  <si>
    <t>نوع العميل</t>
  </si>
  <si>
    <t>المحافظة</t>
  </si>
  <si>
    <t>الجيزة</t>
  </si>
  <si>
    <t>الإسكندرية</t>
  </si>
  <si>
    <t>مطروح</t>
  </si>
  <si>
    <t>البحر الأحمر</t>
  </si>
  <si>
    <t>القاهرة</t>
  </si>
  <si>
    <t>القليوبية</t>
  </si>
  <si>
    <t>أسيوط</t>
  </si>
  <si>
    <t>غير محدد</t>
  </si>
  <si>
    <t>افراد</t>
  </si>
  <si>
    <t>شركات</t>
  </si>
  <si>
    <t>صنف</t>
  </si>
  <si>
    <t>اسم اصنف</t>
  </si>
  <si>
    <t>مقاس</t>
  </si>
  <si>
    <t>نوع الصنف.1</t>
  </si>
  <si>
    <t>لون معدن</t>
  </si>
  <si>
    <t>لون قماش</t>
  </si>
  <si>
    <t>متحركة</t>
  </si>
  <si>
    <t>ركنه</t>
  </si>
  <si>
    <t>فوتيه</t>
  </si>
  <si>
    <t>كاش</t>
  </si>
  <si>
    <t>طريقه الدفع</t>
  </si>
  <si>
    <t>قهوه</t>
  </si>
  <si>
    <t>مدة التسليم</t>
  </si>
  <si>
    <t>Delay Days</t>
  </si>
  <si>
    <t>حالة الطلب</t>
  </si>
  <si>
    <t>مهند</t>
  </si>
  <si>
    <t>محمد ايمن</t>
  </si>
  <si>
    <t>كيرا</t>
  </si>
  <si>
    <t xml:space="preserve">طارق </t>
  </si>
  <si>
    <t>ريم</t>
  </si>
  <si>
    <t>ID</t>
  </si>
  <si>
    <t>Total Orders</t>
  </si>
  <si>
    <t>Delivered Orders</t>
  </si>
  <si>
    <t>Count of الحالة</t>
  </si>
  <si>
    <t>On Time</t>
  </si>
  <si>
    <t>Failed</t>
  </si>
  <si>
    <t>Early</t>
  </si>
  <si>
    <t>Late</t>
  </si>
  <si>
    <t>Row Labels</t>
  </si>
  <si>
    <t>Grand Total</t>
  </si>
  <si>
    <t>Average Delivery Day</t>
  </si>
  <si>
    <t>Average of مدة التسليم</t>
  </si>
  <si>
    <t>Count of حالة الطلب</t>
  </si>
  <si>
    <t xml:space="preserve">Sum of سعر البيع </t>
  </si>
  <si>
    <t>Total Sales</t>
  </si>
  <si>
    <t xml:space="preserve">Average of سعر البيع </t>
  </si>
  <si>
    <t>Average selling price</t>
  </si>
  <si>
    <t>Count of صنف</t>
  </si>
  <si>
    <t>Sales by Platform)</t>
  </si>
  <si>
    <t>Count of لون معدن</t>
  </si>
  <si>
    <t xml:space="preserve">المنتج الأكثر مبيعا  </t>
  </si>
  <si>
    <t xml:space="preserve">اللون الأكثر مبيعا </t>
  </si>
  <si>
    <t>نسبة الطلبات المسلمة في الموعد</t>
  </si>
  <si>
    <t>المدينة الأكثر مبيعا</t>
  </si>
  <si>
    <t>Count of نوع العميل</t>
  </si>
  <si>
    <t xml:space="preserve">عدد الأفراد والشركات </t>
  </si>
  <si>
    <t xml:space="preserve">نسبة الطلبات  الملغاة </t>
  </si>
  <si>
    <t>Count of ID</t>
  </si>
  <si>
    <t>On Time Per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</si>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</sst>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
    <numFmt numFmtId="165" formatCode="d/m/yyyy"/>
    <numFmt numFmtId="166" formatCode="_(&quot;$&quot;* #,##0_);_(&quot;$&quot;* \(#,##0\);_(&quot;$&quot;* &quot;-&quot;??_);_(@_)"/>
  </numFmts>
  <fonts count="4" x14ac:knownFonts="1">
    <font>
      <sz val="11"/>
      <color theme="1"/>
      <name val="Calibri"/>
      <family val="2"/>
      <scheme val="minor"/>
    </font>
    <font>
      <b/>
      <sz val="11"/>
      <color theme="0"/>
      <name val="Calibri"/>
      <family val="2"/>
      <scheme val="minor"/>
    </font>
    <font>
      <sz val="8"/>
      <name val="Calibri"/>
      <family val="2"/>
      <scheme val="minor"/>
    </font>
    <font>
      <sz val="11"/>
      <color theme="1"/>
      <name val="Calibri"/>
      <family val="2"/>
      <scheme val="minor"/>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s>
  <borders count="2">
    <border>
      <left/>
      <right/>
      <top/>
      <bottom/>
      <diagonal/>
    </border>
    <border>
      <left/>
      <right/>
      <top style="thin">
        <color theme="9" tint="0.39997558519241921"/>
      </top>
      <bottom style="thin">
        <color theme="9" tint="0.39997558519241921"/>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4">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0" fillId="3" borderId="1" xfId="0" applyFill="1" applyBorder="1"/>
    <xf numFmtId="0" fontId="0" fillId="0" borderId="1" xfId="0" applyBorder="1"/>
    <xf numFmtId="0" fontId="0" fillId="0" borderId="0" xfId="0" applyAlignment="1">
      <alignment horizontal="right"/>
    </xf>
    <xf numFmtId="14" fontId="0" fillId="0" borderId="0" xfId="0" applyNumberFormat="1" applyAlignment="1">
      <alignment horizontal="center"/>
    </xf>
    <xf numFmtId="14" fontId="0" fillId="0" borderId="0" xfId="0" applyNumberFormat="1"/>
    <xf numFmtId="164" fontId="0" fillId="0" borderId="0" xfId="0" applyNumberFormat="1" applyAlignment="1">
      <alignment horizontal="center"/>
    </xf>
    <xf numFmtId="164" fontId="0" fillId="0" borderId="0" xfId="0" applyNumberFormat="1"/>
    <xf numFmtId="165" fontId="0" fillId="0" borderId="0" xfId="0" applyNumberFormat="1"/>
    <xf numFmtId="165" fontId="0" fillId="0" borderId="0" xfId="0" applyNumberFormat="1" applyAlignment="1">
      <alignment horizontal="right"/>
    </xf>
    <xf numFmtId="165" fontId="0" fillId="0" borderId="0" xfId="0" applyNumberFormat="1" applyAlignment="1">
      <alignment horizontal="center"/>
    </xf>
    <xf numFmtId="1" fontId="0" fillId="0" borderId="0" xfId="0" applyNumberFormat="1"/>
    <xf numFmtId="1" fontId="0" fillId="0" borderId="0" xfId="0" applyNumberFormat="1" applyAlignment="1">
      <alignment horizontal="center"/>
    </xf>
    <xf numFmtId="1" fontId="0" fillId="0" borderId="0" xfId="0" applyNumberFormat="1" applyAlignment="1">
      <alignment horizontal="right"/>
    </xf>
    <xf numFmtId="0" fontId="0" fillId="0" borderId="0" xfId="0" applyAlignment="1">
      <alignment horizontal="left"/>
    </xf>
    <xf numFmtId="0" fontId="0" fillId="4" borderId="0" xfId="0" applyFill="1"/>
    <xf numFmtId="0" fontId="0" fillId="0" borderId="0" xfId="0" pivotButton="1"/>
    <xf numFmtId="0" fontId="0" fillId="5" borderId="0" xfId="0" applyFill="1"/>
    <xf numFmtId="0" fontId="0" fillId="6" borderId="0" xfId="0" applyFill="1"/>
    <xf numFmtId="0" fontId="0" fillId="6" borderId="0" xfId="0" applyFill="1" applyAlignment="1">
      <alignment horizontal="center"/>
    </xf>
    <xf numFmtId="0" fontId="0" fillId="6" borderId="0" xfId="0" applyFill="1" applyAlignment="1">
      <alignment horizontal="left"/>
    </xf>
    <xf numFmtId="1" fontId="0" fillId="6" borderId="0" xfId="0" applyNumberFormat="1" applyFill="1"/>
    <xf numFmtId="164" fontId="0" fillId="6" borderId="0" xfId="0" applyNumberFormat="1" applyFill="1"/>
    <xf numFmtId="164" fontId="0" fillId="6" borderId="0" xfId="1" applyNumberFormat="1" applyFont="1" applyFill="1"/>
    <xf numFmtId="166" fontId="0" fillId="6" borderId="0" xfId="1" applyNumberFormat="1" applyFont="1" applyFill="1"/>
    <xf numFmtId="9" fontId="0" fillId="6" borderId="0" xfId="0" applyNumberFormat="1" applyFill="1"/>
    <xf numFmtId="9" fontId="0" fillId="6" borderId="0" xfId="2" applyFont="1" applyFill="1"/>
    <xf numFmtId="10" fontId="0" fillId="6" borderId="0" xfId="0" applyNumberFormat="1" applyFill="1"/>
    <xf numFmtId="0" fontId="0" fillId="6" borderId="0" xfId="0" applyFill="1" applyAlignment="1">
      <alignment horizontal="right" wrapText="1"/>
    </xf>
    <xf numFmtId="0" fontId="0" fillId="6" borderId="0" xfId="0" applyFill="1" applyAlignment="1">
      <alignment vertical="center" wrapText="1"/>
    </xf>
    <xf numFmtId="0" fontId="0" fillId="6" borderId="0" xfId="0" applyFill="1" applyAlignment="1">
      <alignment wrapText="1"/>
    </xf>
    <xf numFmtId="0" fontId="0" fillId="6" borderId="0" xfId="0" applyFill="1" applyAlignment="1">
      <alignment horizontal="left" wrapText="1"/>
    </xf>
  </cellXfs>
  <cellStyles count="3">
    <cellStyle name="Currency" xfId="1" builtinId="4"/>
    <cellStyle name="Normal" xfId="0" builtinId="0"/>
    <cellStyle name="Percent" xfId="2" builtinId="5"/>
  </cellStyles>
  <dxfs count="140">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alignment horizontal="left"/>
    </dxf>
    <dxf>
      <fill>
        <patternFill patternType="solid">
          <bgColor theme="0" tint="-0.249977111117893"/>
        </patternFill>
      </fill>
    </dxf>
    <dxf>
      <fill>
        <patternFill patternType="solid">
          <bgColor theme="0" tint="-0.249977111117893"/>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alignment horizontal="cent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numFmt numFmtId="13" formatCode="0%"/>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numFmt numFmtId="164" formatCode="&quot;$&quot;#,##0"/>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numFmt numFmtId="164" formatCode="&quot;$&quot;#,##0"/>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numFmt numFmtId="13" formatCode="0%"/>
    </dxf>
    <dxf>
      <numFmt numFmtId="167" formatCode="0.0%"/>
    </dxf>
    <dxf>
      <numFmt numFmtId="14" formatCode="0.00%"/>
    </dxf>
    <dxf>
      <numFmt numFmtId="1" formatCode="0"/>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numFmt numFmtId="0" formatCode="General"/>
    </dxf>
    <dxf>
      <numFmt numFmtId="0" formatCode="General"/>
    </dxf>
    <dxf>
      <numFmt numFmtId="1" formatCode="0"/>
    </dxf>
    <dxf>
      <numFmt numFmtId="1" formatCode="0"/>
    </dxf>
    <dxf>
      <numFmt numFmtId="1" formatCode="0"/>
    </dxf>
    <dxf>
      <numFmt numFmtId="165" formatCode="d/m/yyyy"/>
    </dxf>
    <dxf>
      <numFmt numFmtId="165" formatCode="d/m/yyyy"/>
    </dxf>
    <dxf>
      <numFmt numFmtId="165" formatCode="d/m/yyyy"/>
      <alignment horizontal="right" vertical="bottom" textRotation="0" wrapText="0" indent="0" justifyLastLine="0" shrinkToFit="0" readingOrder="0"/>
    </dxf>
    <dxf>
      <numFmt numFmtId="164" formatCode="&quot;$&quot;#,##0"/>
    </dxf>
    <dxf>
      <numFmt numFmtId="0" formatCode="General"/>
    </dxf>
    <dxf>
      <numFmt numFmtId="164" formatCode="&quot;$&quot;#,##0"/>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alignment horizontal="center" vertical="bottom" textRotation="0" wrapText="0" indent="0" justifyLastLine="0" shrinkToFit="0" readingOrder="0"/>
    </dxf>
    <dxf>
      <font>
        <sz val="14"/>
        <color theme="0"/>
      </font>
      <border>
        <vertical/>
        <horizontal/>
      </border>
    </dxf>
    <dxf>
      <font>
        <color theme="0"/>
      </font>
      <fill>
        <patternFill>
          <bgColor rgb="FF172940"/>
        </patternFill>
      </fill>
      <border diagonalUp="0" diagonalDown="0">
        <left style="thin">
          <color theme="1"/>
        </left>
        <right style="thin">
          <color theme="1"/>
        </right>
        <top style="thin">
          <color theme="1"/>
        </top>
        <bottom style="thin">
          <color theme="1"/>
        </bottom>
        <vertical/>
        <horizontal/>
      </border>
    </dxf>
    <dxf>
      <font>
        <sz val="14"/>
        <color theme="0"/>
      </font>
      <border>
        <bottom style="thin">
          <color theme="4"/>
        </bottom>
        <vertical/>
        <horizontal/>
      </border>
    </dxf>
    <dxf>
      <font>
        <color theme="1"/>
      </font>
      <fill>
        <patternFill>
          <bgColor rgb="FF172940"/>
        </patternFill>
      </fill>
      <border diagonalUp="1" diagonalDown="0">
        <left style="thick">
          <color rgb="FF172940"/>
        </left>
        <right style="thick">
          <color rgb="FF172940"/>
        </right>
        <top style="thick">
          <color rgb="FF172940"/>
        </top>
        <bottom style="thick">
          <color rgb="FF172940"/>
        </bottom>
        <diagonal style="thick">
          <color rgb="FFC00000"/>
        </diagonal>
        <vertical/>
        <horizontal/>
      </border>
    </dxf>
    <dxf>
      <font>
        <b/>
        <color theme="1"/>
      </font>
      <fill>
        <patternFill>
          <bgColor rgb="FF202E59"/>
        </patternFill>
      </fill>
      <border>
        <bottom style="thin">
          <color theme="4"/>
        </bottom>
        <vertical/>
        <horizontal/>
      </border>
    </dxf>
    <dxf>
      <font>
        <b val="0"/>
        <i/>
        <sz val="10"/>
        <color theme="9" tint="0.39994506668294322"/>
        <name val="Arial"/>
        <family val="2"/>
        <scheme val="none"/>
      </font>
      <fill>
        <patternFill>
          <bgColor rgb="FF202E59"/>
        </patternFill>
      </fill>
      <border>
        <left style="thin">
          <color theme="4"/>
        </left>
        <right style="thin">
          <color theme="4"/>
        </right>
        <top style="thin">
          <color theme="4"/>
        </top>
        <bottom style="thin">
          <color theme="4"/>
        </bottom>
        <vertical/>
        <horizontal/>
      </border>
    </dxf>
    <dxf>
      <fill>
        <patternFill>
          <bgColor rgb="FF172940"/>
        </patternFill>
      </fill>
    </dxf>
  </dxfs>
  <tableStyles count="5" defaultTableStyle="TableStyleMedium2" defaultPivotStyle="PivotStyleLight16">
    <tableStyle name="Invisible" pivot="0" table="0" count="0" xr9:uid="{AA73528B-8D85-432A-9172-AA70B5E8C669}"/>
    <tableStyle name="Slicer Style 1" pivot="0" table="0" count="1" xr9:uid="{B4B6FEA0-EFD8-4686-9C17-B616A5F98375}">
      <tableStyleElement type="wholeTable" dxfId="139"/>
    </tableStyle>
    <tableStyle name="SlicerStyleLight1 2" pivot="0" table="0" count="10" xr9:uid="{2ECBDB90-70F4-46D3-B08F-28651C1F6F0B}">
      <tableStyleElement type="wholeTable" dxfId="138"/>
      <tableStyleElement type="headerRow" dxfId="137"/>
    </tableStyle>
    <tableStyle name="SlicerStyleLight1 3" pivot="0" table="0" count="10" xr9:uid="{6D93F251-5A4F-41F2-AF80-CD47E6002EAD}">
      <tableStyleElement type="wholeTable" dxfId="136"/>
      <tableStyleElement type="headerRow" dxfId="135"/>
    </tableStyle>
    <tableStyle name="TimeSlicerStyleLight1 2" pivot="0" table="0" count="9" xr9:uid="{5BFC8F84-E0A2-4F47-A5B6-2F1FF8587AFA}">
      <tableStyleElement type="wholeTable" dxfId="134"/>
      <tableStyleElement type="headerRow" dxfId="133"/>
    </tableStyle>
  </tableStyles>
  <colors>
    <mruColors>
      <color rgb="FF172940"/>
      <color rgb="FF202E59"/>
      <color rgb="FFA60311"/>
      <color rgb="FF2916E0"/>
      <color rgb="FF1F4E79"/>
    </mruColors>
  </colors>
  <extLst>
    <ext xmlns:x14="http://schemas.microsoft.com/office/spreadsheetml/2009/9/main" uri="{46F421CA-312F-682f-3DD2-61675219B42D}">
      <x14:dxfs count="16">
        <dxf>
          <font>
            <sz val="12"/>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sz val="12"/>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theme="0"/>
          </font>
          <fill>
            <patternFill patternType="solid">
              <fgColor theme="4" tint="0.59996337778862885"/>
              <bgColor theme="5" tint="0.39994506668294322"/>
            </patternFill>
          </fill>
          <border>
            <left style="thin">
              <color rgb="FFCCCCCC"/>
            </left>
            <right style="thin">
              <color rgb="FFCCCCCC"/>
            </right>
            <top style="thin">
              <color rgb="FFCCCCCC"/>
            </top>
            <bottom style="thin">
              <color rgb="FFCCCCCC"/>
            </bottom>
            <vertical/>
            <horizontal/>
          </border>
        </dxf>
        <dxf>
          <font>
            <sz val="16"/>
            <color theme="0"/>
          </font>
          <fill>
            <patternFill patternType="solid">
              <fgColor theme="4" tint="0.59996337778862885"/>
              <bgColor theme="4" tint="0.59999389629810485"/>
            </patternFill>
          </fill>
          <border>
            <left style="thin">
              <color rgb="FF999999"/>
            </left>
            <right style="thin">
              <color rgb="FF999999"/>
            </right>
            <top style="thin">
              <color rgb="FF999999"/>
            </top>
            <bottom style="thin">
              <color rgb="FF999999"/>
            </bottom>
            <vertical/>
            <horizontal/>
          </border>
        </dxf>
        <dxf>
          <font>
            <sz val="14"/>
            <color theme="0"/>
          </font>
          <fill>
            <patternFill patternType="solid">
              <fgColor rgb="FFFFFFFF"/>
              <bgColor theme="1"/>
            </patternFill>
          </fill>
          <border>
            <left style="thin">
              <color rgb="FFE0E0E0"/>
            </left>
            <right style="thin">
              <color rgb="FFE0E0E0"/>
            </right>
            <top style="thin">
              <color rgb="FFE0E0E0"/>
            </top>
            <bottom style="thin">
              <color rgb="FFE0E0E0"/>
            </bottom>
            <vertical/>
            <horizontal/>
          </border>
        </dxf>
        <dxf>
          <font>
            <sz val="16"/>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202E59"/>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202E59"/>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202E59"/>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202E5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202E59"/>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2916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202E59"/>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202E59"/>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14"/>
            <color theme="0"/>
          </font>
          <border>
            <left/>
            <right/>
            <top/>
            <bottom/>
            <vertical/>
            <horizontal/>
          </border>
        </dxf>
        <dxf>
          <font>
            <sz val="14"/>
            <color theme="0"/>
          </font>
          <border>
            <left/>
            <right/>
            <top/>
            <bottom/>
            <vertical/>
            <horizontal/>
          </border>
        </dxf>
        <dxf>
          <font>
            <sz val="12"/>
            <color theme="0"/>
          </font>
          <border>
            <left/>
            <right/>
            <top/>
            <bottom/>
            <vertical/>
            <horizontal/>
          </border>
        </dxf>
        <dxf>
          <font>
            <sz val="10"/>
            <color theme="0"/>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[MUSIO Sales Dashboard.xlsx]Sheet2!PivotTable10</c:name>
    <c:fmtId val="11"/>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2.7160979877515821E-3"/>
              <c:y val="-6.6908719743365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2.4032589676290465E-2"/>
              <c:y val="-1.831437736949548E-3"/>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1.3223972003499588E-2"/>
              <c:y val="-2.0091863517060451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4.1381452318460195E-2"/>
              <c:y val="-7.767607174103254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2.4032589676290465E-2"/>
              <c:y val="-1.831437736949548E-3"/>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4.1381452318460195E-2"/>
              <c:y val="-7.767607174103254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1.3223972003499588E-2"/>
              <c:y val="-2.0091863517060451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2.7160979877515821E-3"/>
              <c:y val="-6.6908719743365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4032589676290465E-2"/>
              <c:y val="-1.83143773694954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BE7AC5-6477-4014-AE61-6A825DEC9DA0}" type="PERCENTAGE">
                  <a:rPr lang="en-US" sz="1400">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layout>
            <c:manualLayout>
              <c:x val="7.6735013723848958E-2"/>
              <c:y val="-7.767607174103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1.3223972003499588E-2"/>
              <c:y val="-2.00918635170604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9854039117145442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61EA0A-9752-4209-9043-F13DC94BEEC3}" type="PERCENTAGE">
                  <a:rPr lang="en-US" sz="1400">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2171801433812819"/>
          <c:y val="0.12265277674941169"/>
          <c:w val="0.29548611562180449"/>
          <c:h val="0.82010926076752955"/>
        </c:manualLayout>
      </c:layout>
      <c:pieChart>
        <c:varyColors val="1"/>
        <c:ser>
          <c:idx val="0"/>
          <c:order val="0"/>
          <c:tx>
            <c:strRef>
              <c:f>Sheet2!$X$3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C-4D69-8232-40AE3EA81B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C-4D69-8232-40AE3EA81B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C-4D69-8232-40AE3EA81B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C-4D69-8232-40AE3EA81B8C}"/>
              </c:ext>
            </c:extLst>
          </c:dPt>
          <c:dLbls>
            <c:dLbl>
              <c:idx val="0"/>
              <c:layout>
                <c:manualLayout>
                  <c:x val="2.4032589676290465E-2"/>
                  <c:y val="-1.831437736949548E-3"/>
                </c:manualLayout>
              </c:layout>
              <c:tx>
                <c:rich>
                  <a:bodyPr/>
                  <a:lstStyle/>
                  <a:p>
                    <a:fld id="{08BE7AC5-6477-4014-AE61-6A825DEC9DA0}" type="PERCENTAGE">
                      <a:rPr lang="en-US" sz="1400">
                        <a:solidFill>
                          <a:schemeClr val="bg1"/>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88C-4D69-8232-40AE3EA81B8C}"/>
                </c:ext>
              </c:extLst>
            </c:dLbl>
            <c:dLbl>
              <c:idx val="1"/>
              <c:layout>
                <c:manualLayout>
                  <c:x val="7.6735013723848958E-2"/>
                  <c:y val="-7.76760717410325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8C-4D69-8232-40AE3EA81B8C}"/>
                </c:ext>
              </c:extLst>
            </c:dLbl>
            <c:dLbl>
              <c:idx val="2"/>
              <c:layout>
                <c:manualLayout>
                  <c:x val="-1.3223972003499588E-2"/>
                  <c:y val="-2.009186351706045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88C-4D69-8232-40AE3EA81B8C}"/>
                </c:ext>
              </c:extLst>
            </c:dLbl>
            <c:dLbl>
              <c:idx val="3"/>
              <c:layout>
                <c:manualLayout>
                  <c:x val="-4.9854039117145442E-2"/>
                  <c:y val="0"/>
                </c:manualLayout>
              </c:layout>
              <c:tx>
                <c:rich>
                  <a:bodyPr/>
                  <a:lstStyle/>
                  <a:p>
                    <a:fld id="{6361EA0A-9752-4209-9043-F13DC94BEEC3}" type="PERCENTAGE">
                      <a:rPr lang="en-US" sz="1400">
                        <a:solidFill>
                          <a:schemeClr val="bg1"/>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88C-4D69-8232-40AE3EA81B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Sheet2!$W$4:$W$8</c:f>
              <c:strCache>
                <c:ptCount val="4"/>
                <c:pt idx="0">
                  <c:v>Early</c:v>
                </c:pt>
                <c:pt idx="1">
                  <c:v>Failed</c:v>
                </c:pt>
                <c:pt idx="2">
                  <c:v>Late</c:v>
                </c:pt>
                <c:pt idx="3">
                  <c:v>On Time</c:v>
                </c:pt>
              </c:strCache>
            </c:strRef>
          </c:cat>
          <c:val>
            <c:numRef>
              <c:f>Sheet2!$X$4:$X$8</c:f>
              <c:numCache>
                <c:formatCode>0%</c:formatCode>
                <c:ptCount val="4"/>
                <c:pt idx="0">
                  <c:v>0.31746031746031744</c:v>
                </c:pt>
                <c:pt idx="1">
                  <c:v>0.18253968253968253</c:v>
                </c:pt>
                <c:pt idx="2">
                  <c:v>0.42857142857142855</c:v>
                </c:pt>
                <c:pt idx="3">
                  <c:v>7.1428571428571425E-2</c:v>
                </c:pt>
              </c:numCache>
            </c:numRef>
          </c:val>
          <c:extLst>
            <c:ext xmlns:c16="http://schemas.microsoft.com/office/drawing/2014/chart" uri="{C3380CC4-5D6E-409C-BE32-E72D297353CC}">
              <c16:uniqueId val="{00000008-C88C-4D69-8232-40AE3EA81B8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022084354812069"/>
          <c:y val="0"/>
          <c:w val="0.19822463500353638"/>
          <c:h val="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[MUSIO Sales Dashboard.xlsx]Sheet2!PivotTable7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73352832337566E-2"/>
          <c:y val="6.7567567567567571E-2"/>
          <c:w val="0.93888888888888888"/>
          <c:h val="0.7967443132108486"/>
        </c:manualLayout>
      </c:layout>
      <c:barChart>
        <c:barDir val="col"/>
        <c:grouping val="clustered"/>
        <c:varyColors val="0"/>
        <c:ser>
          <c:idx val="0"/>
          <c:order val="0"/>
          <c:tx>
            <c:strRef>
              <c:f>Sheet2!$O$3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Sheet2!$N$4:$N$13</c:f>
              <c:strCache>
                <c:ptCount val="9"/>
                <c:pt idx="0">
                  <c:v>هومزمارت</c:v>
                </c:pt>
                <c:pt idx="1">
                  <c:v>شيك هومز</c:v>
                </c:pt>
                <c:pt idx="2">
                  <c:v>اوسكار ريتن </c:v>
                </c:pt>
                <c:pt idx="3">
                  <c:v>تاكى </c:v>
                </c:pt>
                <c:pt idx="4">
                  <c:v>السويس</c:v>
                </c:pt>
                <c:pt idx="5">
                  <c:v>فيس بوك</c:v>
                </c:pt>
                <c:pt idx="6">
                  <c:v>مسيو هومزمارت</c:v>
                </c:pt>
                <c:pt idx="7">
                  <c:v>منزلى </c:v>
                </c:pt>
                <c:pt idx="8">
                  <c:v>كيمت </c:v>
                </c:pt>
              </c:strCache>
            </c:strRef>
          </c:cat>
          <c:val>
            <c:numRef>
              <c:f>Sheet2!$O$4:$O$13</c:f>
              <c:numCache>
                <c:formatCode>General</c:formatCode>
                <c:ptCount val="9"/>
                <c:pt idx="0">
                  <c:v>76</c:v>
                </c:pt>
                <c:pt idx="1">
                  <c:v>16</c:v>
                </c:pt>
                <c:pt idx="2">
                  <c:v>13</c:v>
                </c:pt>
                <c:pt idx="3">
                  <c:v>9</c:v>
                </c:pt>
                <c:pt idx="4">
                  <c:v>4</c:v>
                </c:pt>
                <c:pt idx="5">
                  <c:v>3</c:v>
                </c:pt>
                <c:pt idx="6">
                  <c:v>2</c:v>
                </c:pt>
                <c:pt idx="7">
                  <c:v>2</c:v>
                </c:pt>
                <c:pt idx="8">
                  <c:v>1</c:v>
                </c:pt>
              </c:numCache>
            </c:numRef>
          </c:val>
          <c:extLst>
            <c:ext xmlns:c16="http://schemas.microsoft.com/office/drawing/2014/chart" uri="{C3380CC4-5D6E-409C-BE32-E72D297353CC}">
              <c16:uniqueId val="{00000000-7EC3-4F7B-AD08-D88035035DCB}"/>
            </c:ext>
          </c:extLst>
        </c:ser>
        <c:dLbls>
          <c:dLblPos val="outEnd"/>
          <c:showLegendKey val="0"/>
          <c:showVal val="1"/>
          <c:showCatName val="0"/>
          <c:showSerName val="0"/>
          <c:showPercent val="0"/>
          <c:showBubbleSize val="0"/>
        </c:dLbls>
        <c:gapWidth val="218"/>
        <c:overlap val="-28"/>
        <c:axId val="1426414015"/>
        <c:axId val="1426419775"/>
      </c:barChart>
      <c:catAx>
        <c:axId val="1426414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426419775"/>
        <c:crosses val="autoZero"/>
        <c:auto val="1"/>
        <c:lblAlgn val="ctr"/>
        <c:lblOffset val="100"/>
        <c:noMultiLvlLbl val="0"/>
      </c:catAx>
      <c:valAx>
        <c:axId val="1426419775"/>
        <c:scaling>
          <c:orientation val="minMax"/>
        </c:scaling>
        <c:delete val="1"/>
        <c:axPos val="l"/>
        <c:numFmt formatCode="General" sourceLinked="1"/>
        <c:majorTickMark val="out"/>
        <c:minorTickMark val="none"/>
        <c:tickLblPos val="nextTo"/>
        <c:crossAx val="14264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[MUSIO Sales Dashboard.xlsx]Sheet2!PivotTable11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3.3333333333333333E-2"/>
              <c:y val="5.9599829714772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9444444444444445E-2"/>
              <c:y val="-1.560929889105899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9444444444444445E-2"/>
              <c:y val="-1.560929889105899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3333333333333333E-2"/>
              <c:y val="5.9599829714772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140409636108144"/>
              <c:y val="7.090648203781202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w="19050">
            <a:solidFill>
              <a:schemeClr val="lt1"/>
            </a:solidFill>
          </a:ln>
          <a:effectLst/>
        </c:spPr>
        <c:dLbl>
          <c:idx val="0"/>
          <c:layout>
            <c:manualLayout>
              <c:x val="-0.12234528514981324"/>
              <c:y val="-0.16965717939941224"/>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5510602384709378E-2"/>
          <c:w val="0.60730993000874889"/>
          <c:h val="0.86263765795305458"/>
        </c:manualLayout>
      </c:layout>
      <c:doughnutChart>
        <c:varyColors val="1"/>
        <c:ser>
          <c:idx val="0"/>
          <c:order val="0"/>
          <c:tx>
            <c:strRef>
              <c:f>Sheet2!$AA$3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9A-4511-8F7A-95C69F1E8351}"/>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E39A-4511-8F7A-95C69F1E8351}"/>
              </c:ext>
            </c:extLst>
          </c:dPt>
          <c:dLbls>
            <c:dLbl>
              <c:idx val="0"/>
              <c:layout>
                <c:manualLayout>
                  <c:x val="0.2140409636108144"/>
                  <c:y val="7.090648203781202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9A-4511-8F7A-95C69F1E8351}"/>
                </c:ext>
              </c:extLst>
            </c:dLbl>
            <c:dLbl>
              <c:idx val="1"/>
              <c:layout>
                <c:manualLayout>
                  <c:x val="-0.12234528514981324"/>
                  <c:y val="-0.16965717939941224"/>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9A-4511-8F7A-95C69F1E835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Sheet2!$Z$4:$Z$6</c:f>
              <c:strCache>
                <c:ptCount val="2"/>
                <c:pt idx="0">
                  <c:v>تم التسليم</c:v>
                </c:pt>
                <c:pt idx="1">
                  <c:v>مرفوض </c:v>
                </c:pt>
              </c:strCache>
            </c:strRef>
          </c:cat>
          <c:val>
            <c:numRef>
              <c:f>Sheet2!$AA$4:$AA$6</c:f>
              <c:numCache>
                <c:formatCode>0%</c:formatCode>
                <c:ptCount val="2"/>
                <c:pt idx="0">
                  <c:v>0.80952380952380953</c:v>
                </c:pt>
                <c:pt idx="1">
                  <c:v>0.19047619047619047</c:v>
                </c:pt>
              </c:numCache>
            </c:numRef>
          </c:val>
          <c:extLst>
            <c:ext xmlns:c16="http://schemas.microsoft.com/office/drawing/2014/chart" uri="{C3380CC4-5D6E-409C-BE32-E72D297353CC}">
              <c16:uniqueId val="{00000004-E39A-4511-8F7A-95C69F1E835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92713870791363"/>
          <c:y val="0.43283045197862663"/>
          <c:w val="0.23092466019437188"/>
          <c:h val="0.3104428369636220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[MUSIO Sales Dashboard.xlsx]Sheet2!PivotTable13</c:name>
    <c:fmtId val="31"/>
  </c:pivotSource>
  <c:chart>
    <c:autoTitleDeleted val="1"/>
    <c:pivotFmts>
      <c:pivotFmt>
        <c:idx val="0"/>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2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61111111111111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83333333333332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61111111111111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212710765239949"/>
              <c:y val="-0.33414340452663455"/>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8093385214007845E-2"/>
              <c:y val="-0.183778872489649"/>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67739003441691"/>
          <c:y val="5.4824561403508769E-2"/>
          <c:w val="0.83144193551681522"/>
          <c:h val="0.87938596491228072"/>
        </c:manualLayout>
      </c:layout>
      <c:doughnutChart>
        <c:varyColors val="1"/>
        <c:ser>
          <c:idx val="0"/>
          <c:order val="0"/>
          <c:tx>
            <c:strRef>
              <c:f>Sheet2!$AG$3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B9D2-4BDA-B9E4-8FC9E1566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B9D2-4BDA-B9E4-8FC9E156693F}"/>
              </c:ext>
            </c:extLst>
          </c:dPt>
          <c:dLbls>
            <c:dLbl>
              <c:idx val="0"/>
              <c:layout>
                <c:manualLayout>
                  <c:x val="0.16212710765239949"/>
                  <c:y val="-0.33414340452663455"/>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D2-4BDA-B9E4-8FC9E156693F}"/>
                </c:ext>
              </c:extLst>
            </c:dLbl>
            <c:dLbl>
              <c:idx val="1"/>
              <c:layout>
                <c:manualLayout>
                  <c:x val="-6.8093385214007845E-2"/>
                  <c:y val="-0.183778872489649"/>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D2-4BDA-B9E4-8FC9E156693F}"/>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Sheet2!$AF$4:$AF$6</c:f>
              <c:strCache>
                <c:ptCount val="2"/>
                <c:pt idx="0">
                  <c:v>افراد</c:v>
                </c:pt>
                <c:pt idx="1">
                  <c:v>شركات</c:v>
                </c:pt>
              </c:strCache>
            </c:strRef>
          </c:cat>
          <c:val>
            <c:numRef>
              <c:f>Sheet2!$AG$4:$AG$6</c:f>
              <c:numCache>
                <c:formatCode>General</c:formatCode>
                <c:ptCount val="2"/>
                <c:pt idx="0">
                  <c:v>88</c:v>
                </c:pt>
                <c:pt idx="1">
                  <c:v>38</c:v>
                </c:pt>
              </c:numCache>
            </c:numRef>
          </c:val>
          <c:extLst>
            <c:ext xmlns:c16="http://schemas.microsoft.com/office/drawing/2014/chart" uri="{C3380CC4-5D6E-409C-BE32-E72D297353CC}">
              <c16:uniqueId val="{00000002-B9D2-4BDA-B9E4-8FC9E156693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218062236383879"/>
          <c:y val="0.71788868727246891"/>
          <c:w val="0.13733521305427923"/>
          <c:h val="0.2296797035628380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[MUSIO Sales Dashboard.xlsx]Sheet2!PivotTable12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Sheet2!$AC$4:$AC$13</c:f>
              <c:strCache>
                <c:ptCount val="9"/>
                <c:pt idx="0">
                  <c:v>القاهرة</c:v>
                </c:pt>
                <c:pt idx="1">
                  <c:v>الجيزة</c:v>
                </c:pt>
                <c:pt idx="2">
                  <c:v>القليوبية</c:v>
                </c:pt>
                <c:pt idx="3">
                  <c:v>السويس</c:v>
                </c:pt>
                <c:pt idx="4">
                  <c:v>الإسكندرية</c:v>
                </c:pt>
                <c:pt idx="5">
                  <c:v>البحر الأحمر</c:v>
                </c:pt>
                <c:pt idx="6">
                  <c:v>مطروح</c:v>
                </c:pt>
                <c:pt idx="7">
                  <c:v>غير محدد</c:v>
                </c:pt>
                <c:pt idx="8">
                  <c:v>أسيوط</c:v>
                </c:pt>
              </c:strCache>
            </c:strRef>
          </c:cat>
          <c:val>
            <c:numRef>
              <c:f>Sheet2!$AD$4:$AD$13</c:f>
              <c:numCache>
                <c:formatCode>General</c:formatCode>
                <c:ptCount val="9"/>
                <c:pt idx="0">
                  <c:v>64</c:v>
                </c:pt>
                <c:pt idx="1">
                  <c:v>31</c:v>
                </c:pt>
                <c:pt idx="2">
                  <c:v>11</c:v>
                </c:pt>
                <c:pt idx="3">
                  <c:v>8</c:v>
                </c:pt>
                <c:pt idx="4">
                  <c:v>5</c:v>
                </c:pt>
                <c:pt idx="5">
                  <c:v>3</c:v>
                </c:pt>
                <c:pt idx="6">
                  <c:v>2</c:v>
                </c:pt>
                <c:pt idx="7">
                  <c:v>1</c:v>
                </c:pt>
                <c:pt idx="8">
                  <c:v>1</c:v>
                </c:pt>
              </c:numCache>
            </c:numRef>
          </c:val>
          <c:extLst>
            <c:ext xmlns:c16="http://schemas.microsoft.com/office/drawing/2014/chart" uri="{C3380CC4-5D6E-409C-BE32-E72D297353CC}">
              <c16:uniqueId val="{00000000-EB13-4303-8640-D0C1976AA406}"/>
            </c:ext>
          </c:extLst>
        </c:ser>
        <c:dLbls>
          <c:dLblPos val="outEnd"/>
          <c:showLegendKey val="0"/>
          <c:showVal val="1"/>
          <c:showCatName val="0"/>
          <c:showSerName val="0"/>
          <c:showPercent val="0"/>
          <c:showBubbleSize val="0"/>
        </c:dLbls>
        <c:gapWidth val="219"/>
        <c:overlap val="-27"/>
        <c:axId val="1203798991"/>
        <c:axId val="1380359647"/>
      </c:barChart>
      <c:catAx>
        <c:axId val="1203798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380359647"/>
        <c:crosses val="autoZero"/>
        <c:auto val="1"/>
        <c:lblAlgn val="ctr"/>
        <c:lblOffset val="100"/>
        <c:noMultiLvlLbl val="0"/>
      </c:catAx>
      <c:valAx>
        <c:axId val="1380359647"/>
        <c:scaling>
          <c:orientation val="minMax"/>
        </c:scaling>
        <c:delete val="1"/>
        <c:axPos val="l"/>
        <c:numFmt formatCode="General" sourceLinked="1"/>
        <c:majorTickMark val="none"/>
        <c:minorTickMark val="none"/>
        <c:tickLblPos val="nextTo"/>
        <c:crossAx val="120379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[MUSIO Sales Dashboard.xlsx]Sheet2!PivotTable9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Sheet2!$T$4:$T$15</c:f>
              <c:strCache>
                <c:ptCount val="11"/>
                <c:pt idx="0">
                  <c:v>اسود</c:v>
                </c:pt>
                <c:pt idx="1">
                  <c:v>ابيض</c:v>
                </c:pt>
                <c:pt idx="2">
                  <c:v>رمادى</c:v>
                </c:pt>
                <c:pt idx="3">
                  <c:v>ازرق</c:v>
                </c:pt>
                <c:pt idx="4">
                  <c:v>الوان</c:v>
                </c:pt>
                <c:pt idx="5">
                  <c:v>بينك</c:v>
                </c:pt>
                <c:pt idx="6">
                  <c:v>دهبي</c:v>
                </c:pt>
                <c:pt idx="7">
                  <c:v>اسود وبنى</c:v>
                </c:pt>
                <c:pt idx="8">
                  <c:v>بنفسجى</c:v>
                </c:pt>
                <c:pt idx="9">
                  <c:v>نبيتى </c:v>
                </c:pt>
                <c:pt idx="10">
                  <c:v>ملون</c:v>
                </c:pt>
              </c:strCache>
            </c:strRef>
          </c:cat>
          <c:val>
            <c:numRef>
              <c:f>Sheet2!$U$4:$U$15</c:f>
              <c:numCache>
                <c:formatCode>General</c:formatCode>
                <c:ptCount val="11"/>
                <c:pt idx="0">
                  <c:v>46</c:v>
                </c:pt>
                <c:pt idx="1">
                  <c:v>36</c:v>
                </c:pt>
                <c:pt idx="2">
                  <c:v>6</c:v>
                </c:pt>
                <c:pt idx="3">
                  <c:v>3</c:v>
                </c:pt>
                <c:pt idx="4">
                  <c:v>3</c:v>
                </c:pt>
                <c:pt idx="5">
                  <c:v>2</c:v>
                </c:pt>
                <c:pt idx="6">
                  <c:v>2</c:v>
                </c:pt>
                <c:pt idx="7">
                  <c:v>2</c:v>
                </c:pt>
                <c:pt idx="8">
                  <c:v>2</c:v>
                </c:pt>
                <c:pt idx="9">
                  <c:v>1</c:v>
                </c:pt>
                <c:pt idx="10">
                  <c:v>1</c:v>
                </c:pt>
              </c:numCache>
            </c:numRef>
          </c:val>
          <c:extLst>
            <c:ext xmlns:c16="http://schemas.microsoft.com/office/drawing/2014/chart" uri="{C3380CC4-5D6E-409C-BE32-E72D297353CC}">
              <c16:uniqueId val="{00000000-372E-42F1-A329-4FE372067BB1}"/>
            </c:ext>
          </c:extLst>
        </c:ser>
        <c:dLbls>
          <c:dLblPos val="outEnd"/>
          <c:showLegendKey val="0"/>
          <c:showVal val="1"/>
          <c:showCatName val="0"/>
          <c:showSerName val="0"/>
          <c:showPercent val="0"/>
          <c:showBubbleSize val="0"/>
        </c:dLbls>
        <c:gapWidth val="219"/>
        <c:overlap val="-27"/>
        <c:axId val="1393744479"/>
        <c:axId val="1393746879"/>
      </c:barChart>
      <c:catAx>
        <c:axId val="139374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393746879"/>
        <c:crosses val="autoZero"/>
        <c:auto val="1"/>
        <c:lblAlgn val="ctr"/>
        <c:lblOffset val="100"/>
        <c:noMultiLvlLbl val="0"/>
      </c:catAx>
      <c:valAx>
        <c:axId val="1393746879"/>
        <c:scaling>
          <c:orientation val="minMax"/>
        </c:scaling>
        <c:delete val="1"/>
        <c:axPos val="l"/>
        <c:numFmt formatCode="General" sourceLinked="1"/>
        <c:majorTickMark val="none"/>
        <c:minorTickMark val="none"/>
        <c:tickLblPos val="nextTo"/>
        <c:crossAx val="139374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[MUSIO Sales Dashboard.xlsx]Sheet2!PivotTable8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09235896694605"/>
          <c:y val="2.6282845561096422E-2"/>
          <c:w val="0.82490764103305392"/>
          <c:h val="0.94743430887780711"/>
        </c:manualLayout>
      </c:layout>
      <c:barChart>
        <c:barDir val="bar"/>
        <c:grouping val="clustered"/>
        <c:varyColors val="0"/>
        <c:ser>
          <c:idx val="0"/>
          <c:order val="0"/>
          <c:tx>
            <c:strRef>
              <c:f>Sheet2!$R$3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Sheet2!$Q$4:$Q$10</c:f>
              <c:strCache>
                <c:ptCount val="6"/>
                <c:pt idx="0">
                  <c:v>شيزلونج</c:v>
                </c:pt>
                <c:pt idx="1">
                  <c:v>ركنه</c:v>
                </c:pt>
                <c:pt idx="2">
                  <c:v>فوتيه</c:v>
                </c:pt>
                <c:pt idx="3">
                  <c:v>كنبة</c:v>
                </c:pt>
                <c:pt idx="4">
                  <c:v>ترابيزه </c:v>
                </c:pt>
                <c:pt idx="5">
                  <c:v>سرير</c:v>
                </c:pt>
              </c:strCache>
            </c:strRef>
          </c:cat>
          <c:val>
            <c:numRef>
              <c:f>Sheet2!$R$4:$R$10</c:f>
              <c:numCache>
                <c:formatCode>General</c:formatCode>
                <c:ptCount val="6"/>
                <c:pt idx="0">
                  <c:v>1</c:v>
                </c:pt>
                <c:pt idx="1">
                  <c:v>1</c:v>
                </c:pt>
                <c:pt idx="2">
                  <c:v>1</c:v>
                </c:pt>
                <c:pt idx="3">
                  <c:v>15</c:v>
                </c:pt>
                <c:pt idx="4">
                  <c:v>17</c:v>
                </c:pt>
                <c:pt idx="5">
                  <c:v>91</c:v>
                </c:pt>
              </c:numCache>
            </c:numRef>
          </c:val>
          <c:extLst>
            <c:ext xmlns:c16="http://schemas.microsoft.com/office/drawing/2014/chart" uri="{C3380CC4-5D6E-409C-BE32-E72D297353CC}">
              <c16:uniqueId val="{00000000-4D3D-405E-8AB8-F92B092E79D5}"/>
            </c:ext>
          </c:extLst>
        </c:ser>
        <c:dLbls>
          <c:dLblPos val="outEnd"/>
          <c:showLegendKey val="0"/>
          <c:showVal val="1"/>
          <c:showCatName val="0"/>
          <c:showSerName val="0"/>
          <c:showPercent val="0"/>
          <c:showBubbleSize val="0"/>
        </c:dLbls>
        <c:gapWidth val="182"/>
        <c:axId val="1438826687"/>
        <c:axId val="1438827647"/>
      </c:barChart>
      <c:catAx>
        <c:axId val="1438826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438827647"/>
        <c:crosses val="autoZero"/>
        <c:auto val="1"/>
        <c:lblAlgn val="ctr"/>
        <c:lblOffset val="100"/>
        <c:noMultiLvlLbl val="0"/>
      </c:catAx>
      <c:valAx>
        <c:axId val="1438827647"/>
        <c:scaling>
          <c:orientation val="minMax"/>
        </c:scaling>
        <c:delete val="1"/>
        <c:axPos val="b"/>
        <c:numFmt formatCode="General" sourceLinked="1"/>
        <c:majorTickMark val="none"/>
        <c:minorTickMark val="none"/>
        <c:tickLblPos val="nextTo"/>
        <c:crossAx val="143882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2.gif"/><Relationship Id="rId7" Type="http://schemas.openxmlformats.org/officeDocument/2006/relationships/chart" Target="../charts/chart2.xml"/><Relationship Id="rId12"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6.png"/><Relationship Id="rId5" Type="http://schemas.openxmlformats.org/officeDocument/2006/relationships/image" Target="../media/image4.png"/><Relationship Id="rId15" Type="http://schemas.openxmlformats.org/officeDocument/2006/relationships/image" Target="../media/image7.png"/><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image" Target="../media/image5.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33</xdr:col>
      <xdr:colOff>53340</xdr:colOff>
      <xdr:row>17</xdr:row>
      <xdr:rowOff>53340</xdr:rowOff>
    </xdr:from>
    <xdr:to>
      <xdr:col>38</xdr:col>
      <xdr:colOff>152400</xdr:colOff>
      <xdr:row>20</xdr:row>
      <xdr:rowOff>144779</xdr:rowOff>
    </xdr:to>
    <mc:AlternateContent xmlns:mc="http://schemas.openxmlformats.org/markup-compatibility/2006" xmlns:a14="http://schemas.microsoft.com/office/drawing/2010/main">
      <mc:Choice Requires="a14">
        <xdr:graphicFrame macro="">
          <xdr:nvGraphicFramePr>
            <xdr:cNvPr id="2" name="صنف">
              <a:extLst>
                <a:ext uri="{FF2B5EF4-FFF2-40B4-BE49-F238E27FC236}">
                  <a16:creationId xmlns:a16="http://schemas.microsoft.com/office/drawing/2014/main" id="{67170E2B-5BCF-EEB9-0D99-F281A1AEEB39}"/>
                </a:ext>
              </a:extLst>
            </xdr:cNvPr>
            <xdr:cNvGraphicFramePr/>
          </xdr:nvGraphicFramePr>
          <xdr:xfrm>
            <a:off x="0" y="0"/>
            <a:ext cx="0" cy="0"/>
          </xdr:xfrm>
          <a:graphic>
            <a:graphicData uri="http://schemas.microsoft.com/office/drawing/2010/slicer">
              <sle:slicer xmlns:sle="http://schemas.microsoft.com/office/drawing/2010/slicer" name="صنف"/>
            </a:graphicData>
          </a:graphic>
        </xdr:graphicFrame>
      </mc:Choice>
      <mc:Fallback xmlns="">
        <xdr:sp macro="" textlink="">
          <xdr:nvSpPr>
            <xdr:cNvPr id="0" name=""/>
            <xdr:cNvSpPr>
              <a:spLocks noTextEdit="1"/>
            </xdr:cNvSpPr>
          </xdr:nvSpPr>
          <xdr:spPr>
            <a:xfrm>
              <a:off x="28102560" y="3337560"/>
              <a:ext cx="3825240" cy="640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335280</xdr:colOff>
      <xdr:row>12</xdr:row>
      <xdr:rowOff>114300</xdr:rowOff>
    </xdr:from>
    <xdr:to>
      <xdr:col>35</xdr:col>
      <xdr:colOff>266700</xdr:colOff>
      <xdr:row>16</xdr:row>
      <xdr:rowOff>106679</xdr:rowOff>
    </xdr:to>
    <mc:AlternateContent xmlns:mc="http://schemas.openxmlformats.org/markup-compatibility/2006" xmlns:a14="http://schemas.microsoft.com/office/drawing/2010/main">
      <mc:Choice Requires="a14">
        <xdr:graphicFrame macro="">
          <xdr:nvGraphicFramePr>
            <xdr:cNvPr id="3" name="الحالة">
              <a:extLst>
                <a:ext uri="{FF2B5EF4-FFF2-40B4-BE49-F238E27FC236}">
                  <a16:creationId xmlns:a16="http://schemas.microsoft.com/office/drawing/2014/main" id="{968AA668-BC3B-2D76-3313-E2FC99ED2704}"/>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mlns="">
        <xdr:sp macro="" textlink="">
          <xdr:nvSpPr>
            <xdr:cNvPr id="0" name=""/>
            <xdr:cNvSpPr>
              <a:spLocks noTextEdit="1"/>
            </xdr:cNvSpPr>
          </xdr:nvSpPr>
          <xdr:spPr>
            <a:xfrm>
              <a:off x="28384500" y="2484120"/>
              <a:ext cx="1828800" cy="723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175260</xdr:colOff>
      <xdr:row>7</xdr:row>
      <xdr:rowOff>68581</xdr:rowOff>
    </xdr:from>
    <xdr:to>
      <xdr:col>35</xdr:col>
      <xdr:colOff>106680</xdr:colOff>
      <xdr:row>11</xdr:row>
      <xdr:rowOff>60960</xdr:rowOff>
    </xdr:to>
    <mc:AlternateContent xmlns:mc="http://schemas.openxmlformats.org/markup-compatibility/2006" xmlns:a14="http://schemas.microsoft.com/office/drawing/2010/main">
      <mc:Choice Requires="a14">
        <xdr:graphicFrame macro="">
          <xdr:nvGraphicFramePr>
            <xdr:cNvPr id="4" name="نوع العميل">
              <a:extLst>
                <a:ext uri="{FF2B5EF4-FFF2-40B4-BE49-F238E27FC236}">
                  <a16:creationId xmlns:a16="http://schemas.microsoft.com/office/drawing/2014/main" id="{6EDB9AB3-0EC9-030B-67A3-54EA17DCCA57}"/>
                </a:ext>
              </a:extLst>
            </xdr:cNvPr>
            <xdr:cNvGraphicFramePr/>
          </xdr:nvGraphicFramePr>
          <xdr:xfrm>
            <a:off x="0" y="0"/>
            <a:ext cx="0" cy="0"/>
          </xdr:xfrm>
          <a:graphic>
            <a:graphicData uri="http://schemas.microsoft.com/office/drawing/2010/slicer">
              <sle:slicer xmlns:sle="http://schemas.microsoft.com/office/drawing/2010/slicer" name="نوع العميل"/>
            </a:graphicData>
          </a:graphic>
        </xdr:graphicFrame>
      </mc:Choice>
      <mc:Fallback xmlns="">
        <xdr:sp macro="" textlink="">
          <xdr:nvSpPr>
            <xdr:cNvPr id="0" name=""/>
            <xdr:cNvSpPr>
              <a:spLocks noTextEdit="1"/>
            </xdr:cNvSpPr>
          </xdr:nvSpPr>
          <xdr:spPr>
            <a:xfrm>
              <a:off x="28224480" y="1524001"/>
              <a:ext cx="1828800" cy="723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259080</xdr:colOff>
      <xdr:row>0</xdr:row>
      <xdr:rowOff>121920</xdr:rowOff>
    </xdr:from>
    <xdr:to>
      <xdr:col>37</xdr:col>
      <xdr:colOff>480060</xdr:colOff>
      <xdr:row>7</xdr:row>
      <xdr:rowOff>38100</xdr:rowOff>
    </xdr:to>
    <mc:AlternateContent xmlns:mc="http://schemas.openxmlformats.org/markup-compatibility/2006" xmlns:tsle="http://schemas.microsoft.com/office/drawing/2012/timeslicer">
      <mc:Choice Requires="tsle">
        <xdr:graphicFrame macro="">
          <xdr:nvGraphicFramePr>
            <xdr:cNvPr id="5" name="ميعاد الطلب">
              <a:extLst>
                <a:ext uri="{FF2B5EF4-FFF2-40B4-BE49-F238E27FC236}">
                  <a16:creationId xmlns:a16="http://schemas.microsoft.com/office/drawing/2014/main" id="{CD614BEF-36FE-EA6A-79D6-30B51D83EADE}"/>
                </a:ext>
              </a:extLst>
            </xdr:cNvPr>
            <xdr:cNvGraphicFramePr/>
          </xdr:nvGraphicFramePr>
          <xdr:xfrm>
            <a:off x="0" y="0"/>
            <a:ext cx="0" cy="0"/>
          </xdr:xfrm>
          <a:graphic>
            <a:graphicData uri="http://schemas.microsoft.com/office/drawing/2012/timeslicer">
              <tsle:timeslicer name="ميعاد الطلب"/>
            </a:graphicData>
          </a:graphic>
        </xdr:graphicFrame>
      </mc:Choice>
      <mc:Fallback xmlns="">
        <xdr:sp macro="" textlink="">
          <xdr:nvSpPr>
            <xdr:cNvPr id="0" name=""/>
            <xdr:cNvSpPr>
              <a:spLocks noTextEdit="1"/>
            </xdr:cNvSpPr>
          </xdr:nvSpPr>
          <xdr:spPr>
            <a:xfrm>
              <a:off x="28308300" y="12192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83128</xdr:rowOff>
    </xdr:from>
    <xdr:to>
      <xdr:col>4</xdr:col>
      <xdr:colOff>342900</xdr:colOff>
      <xdr:row>51</xdr:row>
      <xdr:rowOff>152399</xdr:rowOff>
    </xdr:to>
    <xdr:sp macro="" textlink="">
      <xdr:nvSpPr>
        <xdr:cNvPr id="2" name="Rectangle: Rounded Corners 1">
          <a:extLst>
            <a:ext uri="{FF2B5EF4-FFF2-40B4-BE49-F238E27FC236}">
              <a16:creationId xmlns:a16="http://schemas.microsoft.com/office/drawing/2014/main" id="{907D2841-8F8B-0742-D255-C201DEB50BA8}"/>
            </a:ext>
          </a:extLst>
        </xdr:cNvPr>
        <xdr:cNvSpPr/>
      </xdr:nvSpPr>
      <xdr:spPr>
        <a:xfrm>
          <a:off x="38100" y="83128"/>
          <a:ext cx="2743200" cy="9254835"/>
        </a:xfrm>
        <a:prstGeom prst="roundRect">
          <a:avLst/>
        </a:prstGeom>
        <a:solidFill>
          <a:srgbClr val="1729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202870</xdr:colOff>
      <xdr:row>1</xdr:row>
      <xdr:rowOff>117764</xdr:rowOff>
    </xdr:from>
    <xdr:to>
      <xdr:col>4</xdr:col>
      <xdr:colOff>175982</xdr:colOff>
      <xdr:row>14</xdr:row>
      <xdr:rowOff>152401</xdr:rowOff>
    </xdr:to>
    <xdr:pic>
      <xdr:nvPicPr>
        <xdr:cNvPr id="4" name="Picture 3">
          <a:extLst>
            <a:ext uri="{FF2B5EF4-FFF2-40B4-BE49-F238E27FC236}">
              <a16:creationId xmlns:a16="http://schemas.microsoft.com/office/drawing/2014/main" id="{ACCC72F0-9F97-A0FE-B58F-50978C892FE7}"/>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aturation sat="66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202870" y="297873"/>
          <a:ext cx="2411512" cy="237605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prst="coolSlant"/>
          <a:contourClr>
            <a:srgbClr val="333333"/>
          </a:contourClr>
        </a:sp3d>
      </xdr:spPr>
    </xdr:pic>
    <xdr:clientData/>
  </xdr:twoCellAnchor>
  <xdr:twoCellAnchor editAs="absolute">
    <xdr:from>
      <xdr:col>0</xdr:col>
      <xdr:colOff>94161</xdr:colOff>
      <xdr:row>16</xdr:row>
      <xdr:rowOff>8708</xdr:rowOff>
    </xdr:from>
    <xdr:to>
      <xdr:col>4</xdr:col>
      <xdr:colOff>296091</xdr:colOff>
      <xdr:row>23</xdr:row>
      <xdr:rowOff>116540</xdr:rowOff>
    </xdr:to>
    <mc:AlternateContent xmlns:mc="http://schemas.openxmlformats.org/markup-compatibility/2006" xmlns:a14="http://schemas.microsoft.com/office/drawing/2010/main">
      <mc:Choice Requires="a14">
        <xdr:graphicFrame macro="">
          <xdr:nvGraphicFramePr>
            <xdr:cNvPr id="7" name="صنف 1">
              <a:extLst>
                <a:ext uri="{FF2B5EF4-FFF2-40B4-BE49-F238E27FC236}">
                  <a16:creationId xmlns:a16="http://schemas.microsoft.com/office/drawing/2014/main" id="{C20A617D-F4A4-43FD-9F8C-FC4C666B26C1}"/>
                </a:ext>
              </a:extLst>
            </xdr:cNvPr>
            <xdr:cNvGraphicFramePr/>
          </xdr:nvGraphicFramePr>
          <xdr:xfrm>
            <a:off x="0" y="0"/>
            <a:ext cx="0" cy="0"/>
          </xdr:xfrm>
          <a:graphic>
            <a:graphicData uri="http://schemas.microsoft.com/office/drawing/2010/slicer">
              <sle:slicer xmlns:sle="http://schemas.microsoft.com/office/drawing/2010/slicer" name="صنف 1"/>
            </a:graphicData>
          </a:graphic>
        </xdr:graphicFrame>
      </mc:Choice>
      <mc:Fallback xmlns="">
        <xdr:sp macro="" textlink="">
          <xdr:nvSpPr>
            <xdr:cNvPr id="0" name=""/>
            <xdr:cNvSpPr>
              <a:spLocks noTextEdit="1"/>
            </xdr:cNvSpPr>
          </xdr:nvSpPr>
          <xdr:spPr>
            <a:xfrm>
              <a:off x="94161" y="2877414"/>
              <a:ext cx="2652283" cy="13628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79416</xdr:colOff>
      <xdr:row>28</xdr:row>
      <xdr:rowOff>81480</xdr:rowOff>
    </xdr:from>
    <xdr:to>
      <xdr:col>4</xdr:col>
      <xdr:colOff>281346</xdr:colOff>
      <xdr:row>33</xdr:row>
      <xdr:rowOff>154516</xdr:rowOff>
    </xdr:to>
    <mc:AlternateContent xmlns:mc="http://schemas.openxmlformats.org/markup-compatibility/2006" xmlns:a14="http://schemas.microsoft.com/office/drawing/2010/main">
      <mc:Choice Requires="a14">
        <xdr:graphicFrame macro="">
          <xdr:nvGraphicFramePr>
            <xdr:cNvPr id="8" name="نوع العميل 1">
              <a:extLst>
                <a:ext uri="{FF2B5EF4-FFF2-40B4-BE49-F238E27FC236}">
                  <a16:creationId xmlns:a16="http://schemas.microsoft.com/office/drawing/2014/main" id="{0EEB8FEF-1685-4583-ACA0-CFCDEFC4BBE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نوع العميل 1"/>
            </a:graphicData>
          </a:graphic>
        </xdr:graphicFrame>
      </mc:Choice>
      <mc:Fallback xmlns="">
        <xdr:sp macro="" textlink="">
          <xdr:nvSpPr>
            <xdr:cNvPr id="0" name=""/>
            <xdr:cNvSpPr>
              <a:spLocks noTextEdit="1"/>
            </xdr:cNvSpPr>
          </xdr:nvSpPr>
          <xdr:spPr>
            <a:xfrm>
              <a:off x="79416" y="5101715"/>
              <a:ext cx="2652283" cy="969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70799</xdr:colOff>
      <xdr:row>24</xdr:row>
      <xdr:rowOff>28062</xdr:rowOff>
    </xdr:from>
    <xdr:to>
      <xdr:col>4</xdr:col>
      <xdr:colOff>272729</xdr:colOff>
      <xdr:row>28</xdr:row>
      <xdr:rowOff>11732</xdr:rowOff>
    </xdr:to>
    <mc:AlternateContent xmlns:mc="http://schemas.openxmlformats.org/markup-compatibility/2006" xmlns:a14="http://schemas.microsoft.com/office/drawing/2010/main">
      <mc:Choice Requires="a14">
        <xdr:graphicFrame macro="">
          <xdr:nvGraphicFramePr>
            <xdr:cNvPr id="9" name="الحالة 1">
              <a:extLst>
                <a:ext uri="{FF2B5EF4-FFF2-40B4-BE49-F238E27FC236}">
                  <a16:creationId xmlns:a16="http://schemas.microsoft.com/office/drawing/2014/main" id="{2916304D-A9A1-461A-8F11-FAF82AAD9A43}"/>
                </a:ext>
              </a:extLst>
            </xdr:cNvPr>
            <xdr:cNvGraphicFramePr/>
          </xdr:nvGraphicFramePr>
          <xdr:xfrm>
            <a:off x="0" y="0"/>
            <a:ext cx="0" cy="0"/>
          </xdr:xfrm>
          <a:graphic>
            <a:graphicData uri="http://schemas.microsoft.com/office/drawing/2010/slicer">
              <sle:slicer xmlns:sle="http://schemas.microsoft.com/office/drawing/2010/slicer" name="الحالة 1"/>
            </a:graphicData>
          </a:graphic>
        </xdr:graphicFrame>
      </mc:Choice>
      <mc:Fallback xmlns="">
        <xdr:sp macro="" textlink="">
          <xdr:nvSpPr>
            <xdr:cNvPr id="0" name=""/>
            <xdr:cNvSpPr>
              <a:spLocks noTextEdit="1"/>
            </xdr:cNvSpPr>
          </xdr:nvSpPr>
          <xdr:spPr>
            <a:xfrm>
              <a:off x="70799" y="4331121"/>
              <a:ext cx="2652283" cy="700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391883</xdr:colOff>
      <xdr:row>0</xdr:row>
      <xdr:rowOff>43543</xdr:rowOff>
    </xdr:from>
    <xdr:to>
      <xdr:col>36</xdr:col>
      <xdr:colOff>27708</xdr:colOff>
      <xdr:row>5</xdr:row>
      <xdr:rowOff>174169</xdr:rowOff>
    </xdr:to>
    <xdr:sp macro="" textlink="">
      <xdr:nvSpPr>
        <xdr:cNvPr id="10" name="Rectangle: Rounded Corners 9">
          <a:extLst>
            <a:ext uri="{FF2B5EF4-FFF2-40B4-BE49-F238E27FC236}">
              <a16:creationId xmlns:a16="http://schemas.microsoft.com/office/drawing/2014/main" id="{DAECB1B3-D82E-DC0A-7374-3D28A5CC110E}"/>
            </a:ext>
          </a:extLst>
        </xdr:cNvPr>
        <xdr:cNvSpPr/>
      </xdr:nvSpPr>
      <xdr:spPr>
        <a:xfrm>
          <a:off x="2841169" y="43543"/>
          <a:ext cx="19230110" cy="1015090"/>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1">
            <a:solidFill>
              <a:srgbClr val="A60311"/>
            </a:solidFill>
          </a:endParaRPr>
        </a:p>
      </xdr:txBody>
    </xdr:sp>
    <xdr:clientData/>
  </xdr:twoCellAnchor>
  <xdr:twoCellAnchor>
    <xdr:from>
      <xdr:col>13</xdr:col>
      <xdr:colOff>405738</xdr:colOff>
      <xdr:row>0</xdr:row>
      <xdr:rowOff>144237</xdr:rowOff>
    </xdr:from>
    <xdr:to>
      <xdr:col>26</xdr:col>
      <xdr:colOff>544285</xdr:colOff>
      <xdr:row>4</xdr:row>
      <xdr:rowOff>10886</xdr:rowOff>
    </xdr:to>
    <xdr:sp macro="" textlink="">
      <xdr:nvSpPr>
        <xdr:cNvPr id="11" name="TextBox 10">
          <a:extLst>
            <a:ext uri="{FF2B5EF4-FFF2-40B4-BE49-F238E27FC236}">
              <a16:creationId xmlns:a16="http://schemas.microsoft.com/office/drawing/2014/main" id="{24175CA8-7590-E8D1-AF99-70A2E2802825}"/>
            </a:ext>
          </a:extLst>
        </xdr:cNvPr>
        <xdr:cNvSpPr txBox="1"/>
      </xdr:nvSpPr>
      <xdr:spPr>
        <a:xfrm>
          <a:off x="8365917" y="144237"/>
          <a:ext cx="8098725" cy="574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600" b="1">
              <a:solidFill>
                <a:srgbClr val="C00000"/>
              </a:solidFill>
              <a:effectLst/>
              <a:latin typeface="+mn-lt"/>
              <a:ea typeface="+mn-ea"/>
              <a:cs typeface="+mn-cs"/>
            </a:rPr>
            <a:t>MISUO SALES &amp; DELIVERY DASHBOARD</a:t>
          </a:r>
          <a:endParaRPr lang="en-US" sz="1100"/>
        </a:p>
      </xdr:txBody>
    </xdr:sp>
    <xdr:clientData/>
  </xdr:twoCellAnchor>
  <xdr:twoCellAnchor>
    <xdr:from>
      <xdr:col>31</xdr:col>
      <xdr:colOff>342901</xdr:colOff>
      <xdr:row>3</xdr:row>
      <xdr:rowOff>246</xdr:rowOff>
    </xdr:from>
    <xdr:to>
      <xdr:col>36</xdr:col>
      <xdr:colOff>503465</xdr:colOff>
      <xdr:row>6</xdr:row>
      <xdr:rowOff>43788</xdr:rowOff>
    </xdr:to>
    <xdr:sp macro="" textlink="">
      <xdr:nvSpPr>
        <xdr:cNvPr id="12" name="TextBox 11">
          <a:extLst>
            <a:ext uri="{FF2B5EF4-FFF2-40B4-BE49-F238E27FC236}">
              <a16:creationId xmlns:a16="http://schemas.microsoft.com/office/drawing/2014/main" id="{60120503-4A08-488C-B168-6009BB6EC508}"/>
            </a:ext>
          </a:extLst>
        </xdr:cNvPr>
        <xdr:cNvSpPr txBox="1"/>
      </xdr:nvSpPr>
      <xdr:spPr>
        <a:xfrm>
          <a:off x="19324865" y="530925"/>
          <a:ext cx="3222171" cy="574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a:solidFill>
                <a:schemeClr val="bg1"/>
              </a:solidFill>
              <a:effectLst/>
              <a:latin typeface="+mn-lt"/>
              <a:ea typeface="+mn-ea"/>
              <a:cs typeface="+mn-cs"/>
            </a:rPr>
            <a:t>superstore</a:t>
          </a:r>
          <a:r>
            <a:rPr lang="en-US" sz="2000" b="0" baseline="0">
              <a:solidFill>
                <a:schemeClr val="bg1"/>
              </a:solidFill>
              <a:effectLst/>
              <a:latin typeface="+mn-lt"/>
              <a:ea typeface="+mn-ea"/>
              <a:cs typeface="+mn-cs"/>
            </a:rPr>
            <a:t> Sales</a:t>
          </a:r>
          <a:endParaRPr lang="en-US" sz="2000" b="0">
            <a:solidFill>
              <a:schemeClr val="bg1"/>
            </a:solidFill>
            <a:effectLst/>
          </a:endParaRPr>
        </a:p>
        <a:p>
          <a:endParaRPr lang="en-US" sz="1100"/>
        </a:p>
      </xdr:txBody>
    </xdr:sp>
    <xdr:clientData/>
  </xdr:twoCellAnchor>
  <xdr:twoCellAnchor>
    <xdr:from>
      <xdr:col>4</xdr:col>
      <xdr:colOff>413657</xdr:colOff>
      <xdr:row>6</xdr:row>
      <xdr:rowOff>65314</xdr:rowOff>
    </xdr:from>
    <xdr:to>
      <xdr:col>9</xdr:col>
      <xdr:colOff>489857</xdr:colOff>
      <xdr:row>15</xdr:row>
      <xdr:rowOff>76200</xdr:rowOff>
    </xdr:to>
    <xdr:sp macro="" textlink="">
      <xdr:nvSpPr>
        <xdr:cNvPr id="13" name="Rectangle: Rounded Corners 12">
          <a:extLst>
            <a:ext uri="{FF2B5EF4-FFF2-40B4-BE49-F238E27FC236}">
              <a16:creationId xmlns:a16="http://schemas.microsoft.com/office/drawing/2014/main" id="{389393CB-204E-2F66-418B-C9B4EECD16A8}"/>
            </a:ext>
          </a:extLst>
        </xdr:cNvPr>
        <xdr:cNvSpPr/>
      </xdr:nvSpPr>
      <xdr:spPr>
        <a:xfrm>
          <a:off x="2852057" y="1175657"/>
          <a:ext cx="3124200" cy="1676400"/>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800" b="1">
            <a:solidFill>
              <a:srgbClr val="A60311"/>
            </a:solidFill>
            <a:latin typeface="+mn-lt"/>
            <a:ea typeface="+mn-ea"/>
            <a:cs typeface="+mn-cs"/>
          </a:endParaRPr>
        </a:p>
      </xdr:txBody>
    </xdr:sp>
    <xdr:clientData/>
  </xdr:twoCellAnchor>
  <xdr:twoCellAnchor>
    <xdr:from>
      <xdr:col>9</xdr:col>
      <xdr:colOff>576943</xdr:colOff>
      <xdr:row>6</xdr:row>
      <xdr:rowOff>65314</xdr:rowOff>
    </xdr:from>
    <xdr:to>
      <xdr:col>15</xdr:col>
      <xdr:colOff>43543</xdr:colOff>
      <xdr:row>15</xdr:row>
      <xdr:rowOff>76200</xdr:rowOff>
    </xdr:to>
    <xdr:sp macro="" textlink="">
      <xdr:nvSpPr>
        <xdr:cNvPr id="16" name="Rectangle: Rounded Corners 15">
          <a:extLst>
            <a:ext uri="{FF2B5EF4-FFF2-40B4-BE49-F238E27FC236}">
              <a16:creationId xmlns:a16="http://schemas.microsoft.com/office/drawing/2014/main" id="{15874726-4C1A-46C1-8D3D-27F25B718A2B}"/>
            </a:ext>
          </a:extLst>
        </xdr:cNvPr>
        <xdr:cNvSpPr/>
      </xdr:nvSpPr>
      <xdr:spPr>
        <a:xfrm>
          <a:off x="6063343" y="1145969"/>
          <a:ext cx="3124200" cy="1631867"/>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800" b="1">
            <a:solidFill>
              <a:srgbClr val="A60311"/>
            </a:solidFill>
            <a:latin typeface="+mn-lt"/>
            <a:ea typeface="+mn-ea"/>
            <a:cs typeface="+mn-cs"/>
          </a:endParaRPr>
        </a:p>
      </xdr:txBody>
    </xdr:sp>
    <xdr:clientData/>
  </xdr:twoCellAnchor>
  <xdr:twoCellAnchor>
    <xdr:from>
      <xdr:col>15</xdr:col>
      <xdr:colOff>141514</xdr:colOff>
      <xdr:row>6</xdr:row>
      <xdr:rowOff>65314</xdr:rowOff>
    </xdr:from>
    <xdr:to>
      <xdr:col>20</xdr:col>
      <xdr:colOff>217714</xdr:colOff>
      <xdr:row>15</xdr:row>
      <xdr:rowOff>97972</xdr:rowOff>
    </xdr:to>
    <xdr:sp macro="" textlink="">
      <xdr:nvSpPr>
        <xdr:cNvPr id="17" name="Rectangle: Rounded Corners 16">
          <a:extLst>
            <a:ext uri="{FF2B5EF4-FFF2-40B4-BE49-F238E27FC236}">
              <a16:creationId xmlns:a16="http://schemas.microsoft.com/office/drawing/2014/main" id="{026643E3-8814-4298-B51B-9BAA4ABAAE1B}"/>
            </a:ext>
          </a:extLst>
        </xdr:cNvPr>
        <xdr:cNvSpPr/>
      </xdr:nvSpPr>
      <xdr:spPr>
        <a:xfrm>
          <a:off x="9285514" y="1175657"/>
          <a:ext cx="3124200" cy="1698172"/>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800" b="1">
            <a:solidFill>
              <a:srgbClr val="A60311"/>
            </a:solidFill>
            <a:latin typeface="+mn-lt"/>
            <a:ea typeface="+mn-ea"/>
            <a:cs typeface="+mn-cs"/>
          </a:endParaRPr>
        </a:p>
      </xdr:txBody>
    </xdr:sp>
    <xdr:clientData/>
  </xdr:twoCellAnchor>
  <xdr:twoCellAnchor>
    <xdr:from>
      <xdr:col>26</xdr:col>
      <xdr:colOff>180108</xdr:colOff>
      <xdr:row>6</xdr:row>
      <xdr:rowOff>80059</xdr:rowOff>
    </xdr:from>
    <xdr:to>
      <xdr:col>36</xdr:col>
      <xdr:colOff>55417</xdr:colOff>
      <xdr:row>15</xdr:row>
      <xdr:rowOff>146539</xdr:rowOff>
    </xdr:to>
    <xdr:sp macro="" textlink="">
      <xdr:nvSpPr>
        <xdr:cNvPr id="18" name="Rectangle: Rounded Corners 17">
          <a:extLst>
            <a:ext uri="{FF2B5EF4-FFF2-40B4-BE49-F238E27FC236}">
              <a16:creationId xmlns:a16="http://schemas.microsoft.com/office/drawing/2014/main" id="{82D43E11-77D5-40DC-A966-415FE119C6A5}"/>
            </a:ext>
          </a:extLst>
        </xdr:cNvPr>
        <xdr:cNvSpPr/>
      </xdr:nvSpPr>
      <xdr:spPr>
        <a:xfrm>
          <a:off x="16182108" y="1135136"/>
          <a:ext cx="6029924" cy="1649095"/>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800" b="1">
            <a:solidFill>
              <a:srgbClr val="A60311"/>
            </a:solidFill>
            <a:latin typeface="+mn-lt"/>
            <a:ea typeface="+mn-ea"/>
            <a:cs typeface="+mn-cs"/>
          </a:endParaRPr>
        </a:p>
      </xdr:txBody>
    </xdr:sp>
    <xdr:clientData/>
  </xdr:twoCellAnchor>
  <xdr:twoCellAnchor>
    <xdr:from>
      <xdr:col>5</xdr:col>
      <xdr:colOff>489857</xdr:colOff>
      <xdr:row>6</xdr:row>
      <xdr:rowOff>175160</xdr:rowOff>
    </xdr:from>
    <xdr:to>
      <xdr:col>9</xdr:col>
      <xdr:colOff>163286</xdr:colOff>
      <xdr:row>9</xdr:row>
      <xdr:rowOff>77189</xdr:rowOff>
    </xdr:to>
    <xdr:sp macro="" textlink="">
      <xdr:nvSpPr>
        <xdr:cNvPr id="20" name="TextBox 19">
          <a:extLst>
            <a:ext uri="{FF2B5EF4-FFF2-40B4-BE49-F238E27FC236}">
              <a16:creationId xmlns:a16="http://schemas.microsoft.com/office/drawing/2014/main" id="{6E783275-E921-4C74-8D74-AFFC22F7F2C1}"/>
            </a:ext>
          </a:extLst>
        </xdr:cNvPr>
        <xdr:cNvSpPr txBox="1"/>
      </xdr:nvSpPr>
      <xdr:spPr>
        <a:xfrm>
          <a:off x="3537857" y="1255815"/>
          <a:ext cx="2111829" cy="442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0">
              <a:solidFill>
                <a:schemeClr val="bg1"/>
              </a:solidFill>
              <a:effectLst/>
              <a:latin typeface="+mn-lt"/>
              <a:ea typeface="+mn-ea"/>
              <a:cs typeface="+mn-cs"/>
            </a:rPr>
            <a:t>Total</a:t>
          </a:r>
          <a:r>
            <a:rPr lang="en-US" sz="2800" b="0" baseline="0">
              <a:solidFill>
                <a:schemeClr val="bg1"/>
              </a:solidFill>
              <a:effectLst/>
              <a:latin typeface="+mn-lt"/>
              <a:ea typeface="+mn-ea"/>
              <a:cs typeface="+mn-cs"/>
            </a:rPr>
            <a:t> Orders</a:t>
          </a:r>
          <a:endParaRPr lang="en-US" sz="2800" b="0">
            <a:solidFill>
              <a:schemeClr val="bg1"/>
            </a:solidFill>
            <a:effectLst/>
          </a:endParaRPr>
        </a:p>
        <a:p>
          <a:endParaRPr lang="en-US" sz="1100"/>
        </a:p>
      </xdr:txBody>
    </xdr:sp>
    <xdr:clientData/>
  </xdr:twoCellAnchor>
  <xdr:twoCellAnchor editAs="oneCell">
    <xdr:from>
      <xdr:col>5</xdr:col>
      <xdr:colOff>53508</xdr:colOff>
      <xdr:row>6</xdr:row>
      <xdr:rowOff>158337</xdr:rowOff>
    </xdr:from>
    <xdr:to>
      <xdr:col>5</xdr:col>
      <xdr:colOff>548245</xdr:colOff>
      <xdr:row>9</xdr:row>
      <xdr:rowOff>97475</xdr:rowOff>
    </xdr:to>
    <xdr:pic>
      <xdr:nvPicPr>
        <xdr:cNvPr id="22" name="Picture 21">
          <a:extLst>
            <a:ext uri="{FF2B5EF4-FFF2-40B4-BE49-F238E27FC236}">
              <a16:creationId xmlns:a16="http://schemas.microsoft.com/office/drawing/2014/main" id="{1B5837D1-82F8-7A49-EEDE-99CA6B04C267}"/>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101508" y="1238992"/>
          <a:ext cx="494737" cy="479465"/>
        </a:xfrm>
        <a:prstGeom prst="rect">
          <a:avLst/>
        </a:prstGeom>
        <a:ln>
          <a:noFill/>
        </a:ln>
      </xdr:spPr>
    </xdr:pic>
    <xdr:clientData/>
  </xdr:twoCellAnchor>
  <xdr:twoCellAnchor>
    <xdr:from>
      <xdr:col>5</xdr:col>
      <xdr:colOff>206830</xdr:colOff>
      <xdr:row>10</xdr:row>
      <xdr:rowOff>20782</xdr:rowOff>
    </xdr:from>
    <xdr:to>
      <xdr:col>9</xdr:col>
      <xdr:colOff>96981</xdr:colOff>
      <xdr:row>13</xdr:row>
      <xdr:rowOff>138546</xdr:rowOff>
    </xdr:to>
    <xdr:sp macro="" textlink="Sheet2!A6">
      <xdr:nvSpPr>
        <xdr:cNvPr id="23" name="TextBox 22">
          <a:extLst>
            <a:ext uri="{FF2B5EF4-FFF2-40B4-BE49-F238E27FC236}">
              <a16:creationId xmlns:a16="http://schemas.microsoft.com/office/drawing/2014/main" id="{253A913E-840C-4265-B306-368F8276D97C}"/>
            </a:ext>
          </a:extLst>
        </xdr:cNvPr>
        <xdr:cNvSpPr txBox="1"/>
      </xdr:nvSpPr>
      <xdr:spPr>
        <a:xfrm>
          <a:off x="3254830" y="1821873"/>
          <a:ext cx="2328551" cy="658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E84090AF-A635-4E58-BC8E-C41A92916EED}" type="TxLink">
            <a:rPr lang="en-US" sz="40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126</a:t>
          </a:fld>
          <a:endParaRPr lang="en-US" sz="4400" b="1">
            <a:solidFill>
              <a:schemeClr val="bg1"/>
            </a:solidFill>
          </a:endParaRPr>
        </a:p>
      </xdr:txBody>
    </xdr:sp>
    <xdr:clientData/>
  </xdr:twoCellAnchor>
  <xdr:twoCellAnchor>
    <xdr:from>
      <xdr:col>10</xdr:col>
      <xdr:colOff>126670</xdr:colOff>
      <xdr:row>10</xdr:row>
      <xdr:rowOff>30036</xdr:rowOff>
    </xdr:from>
    <xdr:to>
      <xdr:col>14</xdr:col>
      <xdr:colOff>457199</xdr:colOff>
      <xdr:row>13</xdr:row>
      <xdr:rowOff>166255</xdr:rowOff>
    </xdr:to>
    <xdr:sp macro="" textlink="Sheet2!J6">
      <xdr:nvSpPr>
        <xdr:cNvPr id="24" name="TextBox 23">
          <a:extLst>
            <a:ext uri="{FF2B5EF4-FFF2-40B4-BE49-F238E27FC236}">
              <a16:creationId xmlns:a16="http://schemas.microsoft.com/office/drawing/2014/main" id="{2DD7A314-8767-47FA-9999-355BF0030815}"/>
            </a:ext>
          </a:extLst>
        </xdr:cNvPr>
        <xdr:cNvSpPr txBox="1"/>
      </xdr:nvSpPr>
      <xdr:spPr>
        <a:xfrm>
          <a:off x="6222670" y="1831127"/>
          <a:ext cx="2768929" cy="676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1E2B769E-05E4-4435-84EB-6B4654480ADB}" type="TxLink">
            <a:rPr lang="en-US" sz="40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$1,282,886</a:t>
          </a:fld>
          <a:endParaRPr lang="en-US" sz="4000" b="1" i="0" u="none" strike="noStrike">
            <a:solidFill>
              <a:schemeClr val="bg1"/>
            </a:solidFill>
            <a:latin typeface="Calibri"/>
            <a:ea typeface="Calibri"/>
            <a:cs typeface="Calibri"/>
          </a:endParaRPr>
        </a:p>
      </xdr:txBody>
    </xdr:sp>
    <xdr:clientData/>
  </xdr:twoCellAnchor>
  <xdr:twoCellAnchor>
    <xdr:from>
      <xdr:col>11</xdr:col>
      <xdr:colOff>37606</xdr:colOff>
      <xdr:row>6</xdr:row>
      <xdr:rowOff>102918</xdr:rowOff>
    </xdr:from>
    <xdr:to>
      <xdr:col>14</xdr:col>
      <xdr:colOff>320635</xdr:colOff>
      <xdr:row>9</xdr:row>
      <xdr:rowOff>4947</xdr:rowOff>
    </xdr:to>
    <xdr:sp macro="" textlink="">
      <xdr:nvSpPr>
        <xdr:cNvPr id="25" name="TextBox 24">
          <a:extLst>
            <a:ext uri="{FF2B5EF4-FFF2-40B4-BE49-F238E27FC236}">
              <a16:creationId xmlns:a16="http://schemas.microsoft.com/office/drawing/2014/main" id="{64812559-0EB8-41B2-9355-E4417EF3E649}"/>
            </a:ext>
          </a:extLst>
        </xdr:cNvPr>
        <xdr:cNvSpPr txBox="1"/>
      </xdr:nvSpPr>
      <xdr:spPr>
        <a:xfrm>
          <a:off x="6743206" y="1183573"/>
          <a:ext cx="2111829" cy="442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0">
              <a:solidFill>
                <a:schemeClr val="bg1"/>
              </a:solidFill>
              <a:effectLst/>
              <a:latin typeface="+mn-lt"/>
              <a:ea typeface="+mn-ea"/>
              <a:cs typeface="+mn-cs"/>
            </a:rPr>
            <a:t>Total</a:t>
          </a:r>
          <a:r>
            <a:rPr lang="en-US" sz="2800" b="0" baseline="0">
              <a:solidFill>
                <a:schemeClr val="bg1"/>
              </a:solidFill>
              <a:effectLst/>
              <a:latin typeface="+mn-lt"/>
              <a:ea typeface="+mn-ea"/>
              <a:cs typeface="+mn-cs"/>
            </a:rPr>
            <a:t> Sales</a:t>
          </a:r>
          <a:endParaRPr lang="en-US" sz="2800" b="0">
            <a:solidFill>
              <a:schemeClr val="bg1"/>
            </a:solidFill>
            <a:effectLst/>
          </a:endParaRPr>
        </a:p>
        <a:p>
          <a:endParaRPr lang="en-US" sz="1100"/>
        </a:p>
      </xdr:txBody>
    </xdr:sp>
    <xdr:clientData/>
  </xdr:twoCellAnchor>
  <xdr:twoCellAnchor editAs="oneCell">
    <xdr:from>
      <xdr:col>10</xdr:col>
      <xdr:colOff>239485</xdr:colOff>
      <xdr:row>6</xdr:row>
      <xdr:rowOff>87086</xdr:rowOff>
    </xdr:from>
    <xdr:to>
      <xdr:col>11</xdr:col>
      <xdr:colOff>239409</xdr:colOff>
      <xdr:row>9</xdr:row>
      <xdr:rowOff>141439</xdr:rowOff>
    </xdr:to>
    <xdr:pic>
      <xdr:nvPicPr>
        <xdr:cNvPr id="27" name="Picture 26">
          <a:extLst>
            <a:ext uri="{FF2B5EF4-FFF2-40B4-BE49-F238E27FC236}">
              <a16:creationId xmlns:a16="http://schemas.microsoft.com/office/drawing/2014/main" id="{B9F66268-2B68-2819-F989-0DAA3726D1A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335485" y="1197429"/>
          <a:ext cx="609524" cy="609524"/>
        </a:xfrm>
        <a:prstGeom prst="rect">
          <a:avLst/>
        </a:prstGeom>
      </xdr:spPr>
    </xdr:pic>
    <xdr:clientData/>
  </xdr:twoCellAnchor>
  <xdr:twoCellAnchor>
    <xdr:from>
      <xdr:col>15</xdr:col>
      <xdr:colOff>119743</xdr:colOff>
      <xdr:row>6</xdr:row>
      <xdr:rowOff>87085</xdr:rowOff>
    </xdr:from>
    <xdr:to>
      <xdr:col>20</xdr:col>
      <xdr:colOff>195943</xdr:colOff>
      <xdr:row>10</xdr:row>
      <xdr:rowOff>97971</xdr:rowOff>
    </xdr:to>
    <xdr:sp macro="" textlink="">
      <xdr:nvSpPr>
        <xdr:cNvPr id="28" name="TextBox 27">
          <a:extLst>
            <a:ext uri="{FF2B5EF4-FFF2-40B4-BE49-F238E27FC236}">
              <a16:creationId xmlns:a16="http://schemas.microsoft.com/office/drawing/2014/main" id="{F8F050C1-9587-475E-A71B-3F45214CD621}"/>
            </a:ext>
          </a:extLst>
        </xdr:cNvPr>
        <xdr:cNvSpPr txBox="1"/>
      </xdr:nvSpPr>
      <xdr:spPr>
        <a:xfrm>
          <a:off x="9263743" y="1167740"/>
          <a:ext cx="3124200" cy="73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0">
              <a:solidFill>
                <a:schemeClr val="bg1"/>
              </a:solidFill>
              <a:effectLst/>
              <a:latin typeface="+mn-lt"/>
              <a:ea typeface="+mn-ea"/>
              <a:cs typeface="+mn-cs"/>
            </a:rPr>
            <a:t>Average selling price</a:t>
          </a:r>
          <a:endParaRPr lang="en-US" sz="1100"/>
        </a:p>
      </xdr:txBody>
    </xdr:sp>
    <xdr:clientData/>
  </xdr:twoCellAnchor>
  <xdr:twoCellAnchor editAs="oneCell">
    <xdr:from>
      <xdr:col>15</xdr:col>
      <xdr:colOff>391884</xdr:colOff>
      <xdr:row>10</xdr:row>
      <xdr:rowOff>56192</xdr:rowOff>
    </xdr:from>
    <xdr:to>
      <xdr:col>16</xdr:col>
      <xdr:colOff>417205</xdr:colOff>
      <xdr:row>13</xdr:row>
      <xdr:rowOff>135941</xdr:rowOff>
    </xdr:to>
    <xdr:pic>
      <xdr:nvPicPr>
        <xdr:cNvPr id="30" name="Picture 29">
          <a:extLst>
            <a:ext uri="{FF2B5EF4-FFF2-40B4-BE49-F238E27FC236}">
              <a16:creationId xmlns:a16="http://schemas.microsoft.com/office/drawing/2014/main" id="{8E83CCE5-E432-52B6-F314-57F7B8E2FA2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535884" y="1857283"/>
          <a:ext cx="634921" cy="620076"/>
        </a:xfrm>
        <a:prstGeom prst="rect">
          <a:avLst/>
        </a:prstGeom>
      </xdr:spPr>
    </xdr:pic>
    <xdr:clientData/>
  </xdr:twoCellAnchor>
  <xdr:twoCellAnchor>
    <xdr:from>
      <xdr:col>15</xdr:col>
      <xdr:colOff>413658</xdr:colOff>
      <xdr:row>9</xdr:row>
      <xdr:rowOff>78969</xdr:rowOff>
    </xdr:from>
    <xdr:to>
      <xdr:col>20</xdr:col>
      <xdr:colOff>401783</xdr:colOff>
      <xdr:row>14</xdr:row>
      <xdr:rowOff>55418</xdr:rowOff>
    </xdr:to>
    <xdr:sp macro="" textlink="Sheet2!L6">
      <xdr:nvSpPr>
        <xdr:cNvPr id="31" name="TextBox 30">
          <a:extLst>
            <a:ext uri="{FF2B5EF4-FFF2-40B4-BE49-F238E27FC236}">
              <a16:creationId xmlns:a16="http://schemas.microsoft.com/office/drawing/2014/main" id="{B75BAE76-386B-468E-BA42-88A26D7257FA}"/>
            </a:ext>
          </a:extLst>
        </xdr:cNvPr>
        <xdr:cNvSpPr txBox="1"/>
      </xdr:nvSpPr>
      <xdr:spPr>
        <a:xfrm>
          <a:off x="9557658" y="1699951"/>
          <a:ext cx="3036125" cy="876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627F74D-2B0D-4253-B2A1-AC3FE2D0F335}" type="TxLink">
            <a:rPr lang="en-US" sz="40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$10,263 </a:t>
          </a:fld>
          <a:endParaRPr lang="en-US" sz="4000" b="1" i="0" u="none" strike="noStrike">
            <a:solidFill>
              <a:schemeClr val="bg1"/>
            </a:solidFill>
            <a:latin typeface="Calibri"/>
            <a:ea typeface="Calibri"/>
            <a:cs typeface="Calibri"/>
          </a:endParaRPr>
        </a:p>
      </xdr:txBody>
    </xdr:sp>
    <xdr:clientData/>
  </xdr:twoCellAnchor>
  <xdr:twoCellAnchor editAs="oneCell">
    <xdr:from>
      <xdr:col>0</xdr:col>
      <xdr:colOff>83324</xdr:colOff>
      <xdr:row>34</xdr:row>
      <xdr:rowOff>42129</xdr:rowOff>
    </xdr:from>
    <xdr:to>
      <xdr:col>4</xdr:col>
      <xdr:colOff>290153</xdr:colOff>
      <xdr:row>43</xdr:row>
      <xdr:rowOff>63848</xdr:rowOff>
    </xdr:to>
    <mc:AlternateContent xmlns:mc="http://schemas.openxmlformats.org/markup-compatibility/2006" xmlns:tsle="http://schemas.microsoft.com/office/drawing/2012/timeslicer">
      <mc:Choice Requires="tsle">
        <xdr:graphicFrame macro="">
          <xdr:nvGraphicFramePr>
            <xdr:cNvPr id="32" name="ميعاد الطلب 1">
              <a:extLst>
                <a:ext uri="{FF2B5EF4-FFF2-40B4-BE49-F238E27FC236}">
                  <a16:creationId xmlns:a16="http://schemas.microsoft.com/office/drawing/2014/main" id="{CC416251-DCD6-472F-B917-9058C79944DA}"/>
                </a:ext>
              </a:extLst>
            </xdr:cNvPr>
            <xdr:cNvGraphicFramePr/>
          </xdr:nvGraphicFramePr>
          <xdr:xfrm>
            <a:off x="0" y="0"/>
            <a:ext cx="0" cy="0"/>
          </xdr:xfrm>
          <a:graphic>
            <a:graphicData uri="http://schemas.microsoft.com/office/drawing/2012/timeslicer">
              <tsle:timeslicer name="ميعاد الطلب 1"/>
            </a:graphicData>
          </a:graphic>
        </xdr:graphicFrame>
      </mc:Choice>
      <mc:Fallback xmlns="">
        <xdr:sp macro="" textlink="">
          <xdr:nvSpPr>
            <xdr:cNvPr id="0" name=""/>
            <xdr:cNvSpPr>
              <a:spLocks noTextEdit="1"/>
            </xdr:cNvSpPr>
          </xdr:nvSpPr>
          <xdr:spPr>
            <a:xfrm>
              <a:off x="83324" y="6138129"/>
              <a:ext cx="2657182" cy="16353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30</xdr:col>
      <xdr:colOff>201423</xdr:colOff>
      <xdr:row>7</xdr:row>
      <xdr:rowOff>9118</xdr:rowOff>
    </xdr:from>
    <xdr:to>
      <xdr:col>36</xdr:col>
      <xdr:colOff>256841</xdr:colOff>
      <xdr:row>15</xdr:row>
      <xdr:rowOff>88962</xdr:rowOff>
    </xdr:to>
    <xdr:graphicFrame macro="">
      <xdr:nvGraphicFramePr>
        <xdr:cNvPr id="33" name="Chart 32">
          <a:extLst>
            <a:ext uri="{FF2B5EF4-FFF2-40B4-BE49-F238E27FC236}">
              <a16:creationId xmlns:a16="http://schemas.microsoft.com/office/drawing/2014/main" id="{FF2CA9CD-8F20-4B25-AC81-4A0FA9942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310778</xdr:colOff>
      <xdr:row>6</xdr:row>
      <xdr:rowOff>13961</xdr:rowOff>
    </xdr:from>
    <xdr:to>
      <xdr:col>32</xdr:col>
      <xdr:colOff>166253</xdr:colOff>
      <xdr:row>10</xdr:row>
      <xdr:rowOff>24847</xdr:rowOff>
    </xdr:to>
    <xdr:sp macro="" textlink="">
      <xdr:nvSpPr>
        <xdr:cNvPr id="34" name="TextBox 33">
          <a:extLst>
            <a:ext uri="{FF2B5EF4-FFF2-40B4-BE49-F238E27FC236}">
              <a16:creationId xmlns:a16="http://schemas.microsoft.com/office/drawing/2014/main" id="{4B29F0E0-F034-499A-98E4-7C65782D4CFD}"/>
            </a:ext>
          </a:extLst>
        </xdr:cNvPr>
        <xdr:cNvSpPr txBox="1"/>
      </xdr:nvSpPr>
      <xdr:spPr>
        <a:xfrm>
          <a:off x="16160378" y="1094616"/>
          <a:ext cx="3513075" cy="73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0">
              <a:solidFill>
                <a:schemeClr val="bg1"/>
              </a:solidFill>
              <a:effectLst/>
              <a:latin typeface="+mn-lt"/>
              <a:ea typeface="+mn-ea"/>
              <a:cs typeface="+mn-cs"/>
            </a:rPr>
            <a:t> Delivery Performance</a:t>
          </a:r>
          <a:endParaRPr lang="en-US" sz="1200"/>
        </a:p>
      </xdr:txBody>
    </xdr:sp>
    <xdr:clientData/>
  </xdr:twoCellAnchor>
  <xdr:twoCellAnchor>
    <xdr:from>
      <xdr:col>4</xdr:col>
      <xdr:colOff>404758</xdr:colOff>
      <xdr:row>16</xdr:row>
      <xdr:rowOff>22860</xdr:rowOff>
    </xdr:from>
    <xdr:to>
      <xdr:col>15</xdr:col>
      <xdr:colOff>108858</xdr:colOff>
      <xdr:row>32</xdr:row>
      <xdr:rowOff>83127</xdr:rowOff>
    </xdr:to>
    <xdr:sp macro="" textlink="">
      <xdr:nvSpPr>
        <xdr:cNvPr id="39" name="Rectangle: Rounded Corners 38">
          <a:extLst>
            <a:ext uri="{FF2B5EF4-FFF2-40B4-BE49-F238E27FC236}">
              <a16:creationId xmlns:a16="http://schemas.microsoft.com/office/drawing/2014/main" id="{28E24305-E1DC-4E97-8EF7-15F3E76432C8}"/>
            </a:ext>
          </a:extLst>
        </xdr:cNvPr>
        <xdr:cNvSpPr/>
      </xdr:nvSpPr>
      <xdr:spPr>
        <a:xfrm>
          <a:off x="2843158" y="2904605"/>
          <a:ext cx="6409700" cy="2942013"/>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800" b="1">
            <a:solidFill>
              <a:srgbClr val="A60311"/>
            </a:solidFill>
            <a:latin typeface="+mn-lt"/>
            <a:ea typeface="+mn-ea"/>
            <a:cs typeface="+mn-cs"/>
          </a:endParaRPr>
        </a:p>
      </xdr:txBody>
    </xdr:sp>
    <xdr:clientData/>
  </xdr:twoCellAnchor>
  <xdr:twoCellAnchor>
    <xdr:from>
      <xdr:col>4</xdr:col>
      <xdr:colOff>360218</xdr:colOff>
      <xdr:row>18</xdr:row>
      <xdr:rowOff>49480</xdr:rowOff>
    </xdr:from>
    <xdr:to>
      <xdr:col>15</xdr:col>
      <xdr:colOff>55418</xdr:colOff>
      <xdr:row>32</xdr:row>
      <xdr:rowOff>29391</xdr:rowOff>
    </xdr:to>
    <xdr:graphicFrame macro="">
      <xdr:nvGraphicFramePr>
        <xdr:cNvPr id="40" name="Chart 39">
          <a:extLst>
            <a:ext uri="{FF2B5EF4-FFF2-40B4-BE49-F238E27FC236}">
              <a16:creationId xmlns:a16="http://schemas.microsoft.com/office/drawing/2014/main" id="{74965A59-3EE6-4B66-B203-5E1A02D0C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326571</xdr:colOff>
      <xdr:row>16</xdr:row>
      <xdr:rowOff>65314</xdr:rowOff>
    </xdr:from>
    <xdr:to>
      <xdr:col>12</xdr:col>
      <xdr:colOff>468086</xdr:colOff>
      <xdr:row>19</xdr:row>
      <xdr:rowOff>163285</xdr:rowOff>
    </xdr:to>
    <xdr:sp macro="" textlink="">
      <xdr:nvSpPr>
        <xdr:cNvPr id="5121" name="Text Box 1">
          <a:extLst>
            <a:ext uri="{FF2B5EF4-FFF2-40B4-BE49-F238E27FC236}">
              <a16:creationId xmlns:a16="http://schemas.microsoft.com/office/drawing/2014/main" id="{CF26510F-C246-3418-4692-F9BFAB817C14}"/>
            </a:ext>
          </a:extLst>
        </xdr:cNvPr>
        <xdr:cNvSpPr txBox="1">
          <a:spLocks noChangeArrowheads="1"/>
        </xdr:cNvSpPr>
      </xdr:nvSpPr>
      <xdr:spPr bwMode="auto">
        <a:xfrm>
          <a:off x="4593771" y="3026228"/>
          <a:ext cx="3189515" cy="65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rtl="0">
            <a:defRPr sz="1000"/>
          </a:pPr>
          <a:r>
            <a:rPr lang="en-US" sz="3200" b="0">
              <a:solidFill>
                <a:schemeClr val="bg1"/>
              </a:solidFill>
              <a:effectLst/>
              <a:latin typeface="+mn-lt"/>
              <a:ea typeface="+mn-ea"/>
              <a:cs typeface="+mn-cs"/>
            </a:rPr>
            <a:t>Sales by Platform</a:t>
          </a:r>
        </a:p>
      </xdr:txBody>
    </xdr:sp>
    <xdr:clientData/>
  </xdr:twoCellAnchor>
  <xdr:twoCellAnchor>
    <xdr:from>
      <xdr:col>15</xdr:col>
      <xdr:colOff>253457</xdr:colOff>
      <xdr:row>15</xdr:row>
      <xdr:rowOff>148326</xdr:rowOff>
    </xdr:from>
    <xdr:to>
      <xdr:col>21</xdr:col>
      <xdr:colOff>55419</xdr:colOff>
      <xdr:row>32</xdr:row>
      <xdr:rowOff>35859</xdr:rowOff>
    </xdr:to>
    <xdr:sp macro="" textlink="">
      <xdr:nvSpPr>
        <xdr:cNvPr id="41" name="Rectangle: Rounded Corners 40">
          <a:extLst>
            <a:ext uri="{FF2B5EF4-FFF2-40B4-BE49-F238E27FC236}">
              <a16:creationId xmlns:a16="http://schemas.microsoft.com/office/drawing/2014/main" id="{6BE4FD58-3C56-4395-8717-29136D13FD8A}"/>
            </a:ext>
          </a:extLst>
        </xdr:cNvPr>
        <xdr:cNvSpPr/>
      </xdr:nvSpPr>
      <xdr:spPr>
        <a:xfrm>
          <a:off x="9397457" y="2849962"/>
          <a:ext cx="3459562" cy="2949388"/>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800" b="1">
            <a:solidFill>
              <a:srgbClr val="A60311"/>
            </a:solidFill>
            <a:latin typeface="+mn-lt"/>
            <a:ea typeface="+mn-ea"/>
            <a:cs typeface="+mn-cs"/>
          </a:endParaRPr>
        </a:p>
      </xdr:txBody>
    </xdr:sp>
    <xdr:clientData/>
  </xdr:twoCellAnchor>
  <xdr:twoCellAnchor>
    <xdr:from>
      <xdr:col>15</xdr:col>
      <xdr:colOff>458954</xdr:colOff>
      <xdr:row>19</xdr:row>
      <xdr:rowOff>106722</xdr:rowOff>
    </xdr:from>
    <xdr:to>
      <xdr:col>20</xdr:col>
      <xdr:colOff>543588</xdr:colOff>
      <xdr:row>32</xdr:row>
      <xdr:rowOff>93723</xdr:rowOff>
    </xdr:to>
    <xdr:graphicFrame macro="">
      <xdr:nvGraphicFramePr>
        <xdr:cNvPr id="43" name="Chart 42">
          <a:extLst>
            <a:ext uri="{FF2B5EF4-FFF2-40B4-BE49-F238E27FC236}">
              <a16:creationId xmlns:a16="http://schemas.microsoft.com/office/drawing/2014/main" id="{2631E313-B400-4F35-B918-9183C30FD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389555</xdr:colOff>
      <xdr:row>16</xdr:row>
      <xdr:rowOff>57862</xdr:rowOff>
    </xdr:from>
    <xdr:to>
      <xdr:col>21</xdr:col>
      <xdr:colOff>96981</xdr:colOff>
      <xdr:row>20</xdr:row>
      <xdr:rowOff>152400</xdr:rowOff>
    </xdr:to>
    <xdr:sp macro="" textlink="">
      <xdr:nvSpPr>
        <xdr:cNvPr id="5122" name="Text Box 2">
          <a:extLst>
            <a:ext uri="{FF2B5EF4-FFF2-40B4-BE49-F238E27FC236}">
              <a16:creationId xmlns:a16="http://schemas.microsoft.com/office/drawing/2014/main" id="{19F84BF0-0944-199C-4AB9-AC2692048138}"/>
            </a:ext>
          </a:extLst>
        </xdr:cNvPr>
        <xdr:cNvSpPr txBox="1">
          <a:spLocks noChangeArrowheads="1"/>
        </xdr:cNvSpPr>
      </xdr:nvSpPr>
      <xdr:spPr bwMode="auto">
        <a:xfrm>
          <a:off x="10143155" y="2939607"/>
          <a:ext cx="2755426" cy="81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rtl="0">
            <a:defRPr sz="1000"/>
          </a:pPr>
          <a:r>
            <a:rPr lang="en-US" sz="2800" b="0">
              <a:solidFill>
                <a:schemeClr val="bg1"/>
              </a:solidFill>
              <a:effectLst/>
              <a:latin typeface="+mn-lt"/>
              <a:ea typeface="+mn-ea"/>
              <a:cs typeface="+mn-cs"/>
            </a:rPr>
            <a:t>Delivery Status </a:t>
          </a:r>
        </a:p>
      </xdr:txBody>
    </xdr:sp>
    <xdr:clientData/>
  </xdr:twoCellAnchor>
  <xdr:twoCellAnchor editAs="oneCell">
    <xdr:from>
      <xdr:col>15</xdr:col>
      <xdr:colOff>445790</xdr:colOff>
      <xdr:row>15</xdr:row>
      <xdr:rowOff>175219</xdr:rowOff>
    </xdr:from>
    <xdr:to>
      <xdr:col>16</xdr:col>
      <xdr:colOff>471111</xdr:colOff>
      <xdr:row>19</xdr:row>
      <xdr:rowOff>92964</xdr:rowOff>
    </xdr:to>
    <xdr:pic>
      <xdr:nvPicPr>
        <xdr:cNvPr id="45" name="Picture 44">
          <a:extLst>
            <a:ext uri="{FF2B5EF4-FFF2-40B4-BE49-F238E27FC236}">
              <a16:creationId xmlns:a16="http://schemas.microsoft.com/office/drawing/2014/main" id="{CAD85CC3-02E4-D862-74F7-07095DF27C7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9589790" y="2876855"/>
          <a:ext cx="634921" cy="638182"/>
        </a:xfrm>
        <a:prstGeom prst="rect">
          <a:avLst/>
        </a:prstGeom>
      </xdr:spPr>
    </xdr:pic>
    <xdr:clientData/>
  </xdr:twoCellAnchor>
  <xdr:twoCellAnchor>
    <xdr:from>
      <xdr:col>21</xdr:col>
      <xdr:colOff>96983</xdr:colOff>
      <xdr:row>16</xdr:row>
      <xdr:rowOff>0</xdr:rowOff>
    </xdr:from>
    <xdr:to>
      <xdr:col>27</xdr:col>
      <xdr:colOff>263237</xdr:colOff>
      <xdr:row>32</xdr:row>
      <xdr:rowOff>67642</xdr:rowOff>
    </xdr:to>
    <xdr:sp macro="" textlink="">
      <xdr:nvSpPr>
        <xdr:cNvPr id="46" name="Rectangle: Rounded Corners 45">
          <a:extLst>
            <a:ext uri="{FF2B5EF4-FFF2-40B4-BE49-F238E27FC236}">
              <a16:creationId xmlns:a16="http://schemas.microsoft.com/office/drawing/2014/main" id="{A28E4D0A-8210-4A75-80B2-021DBCECA335}"/>
            </a:ext>
          </a:extLst>
        </xdr:cNvPr>
        <xdr:cNvSpPr/>
      </xdr:nvSpPr>
      <xdr:spPr>
        <a:xfrm>
          <a:off x="12898583" y="2881745"/>
          <a:ext cx="3823854" cy="2949388"/>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800" b="1">
            <a:solidFill>
              <a:srgbClr val="A60311"/>
            </a:solidFill>
            <a:latin typeface="+mn-lt"/>
            <a:ea typeface="+mn-ea"/>
            <a:cs typeface="+mn-cs"/>
          </a:endParaRPr>
        </a:p>
      </xdr:txBody>
    </xdr:sp>
    <xdr:clientData/>
  </xdr:twoCellAnchor>
  <xdr:twoCellAnchor>
    <xdr:from>
      <xdr:col>20</xdr:col>
      <xdr:colOff>279812</xdr:colOff>
      <xdr:row>19</xdr:row>
      <xdr:rowOff>15537</xdr:rowOff>
    </xdr:from>
    <xdr:to>
      <xdr:col>27</xdr:col>
      <xdr:colOff>380999</xdr:colOff>
      <xdr:row>31</xdr:row>
      <xdr:rowOff>131469</xdr:rowOff>
    </xdr:to>
    <xdr:graphicFrame macro="">
      <xdr:nvGraphicFramePr>
        <xdr:cNvPr id="48" name="Chart 47">
          <a:extLst>
            <a:ext uri="{FF2B5EF4-FFF2-40B4-BE49-F238E27FC236}">
              <a16:creationId xmlns:a16="http://schemas.microsoft.com/office/drawing/2014/main" id="{86B5A71A-52CC-4F70-A61D-7CD4DC1B2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41564</xdr:colOff>
      <xdr:row>16</xdr:row>
      <xdr:rowOff>84514</xdr:rowOff>
    </xdr:from>
    <xdr:to>
      <xdr:col>26</xdr:col>
      <xdr:colOff>474519</xdr:colOff>
      <xdr:row>19</xdr:row>
      <xdr:rowOff>124690</xdr:rowOff>
    </xdr:to>
    <xdr:sp macro="" textlink="">
      <xdr:nvSpPr>
        <xdr:cNvPr id="49" name="Text Box 2">
          <a:extLst>
            <a:ext uri="{FF2B5EF4-FFF2-40B4-BE49-F238E27FC236}">
              <a16:creationId xmlns:a16="http://schemas.microsoft.com/office/drawing/2014/main" id="{CF4EE4B0-C0D4-4007-B1FF-FD16A97BD0F5}"/>
            </a:ext>
          </a:extLst>
        </xdr:cNvPr>
        <xdr:cNvSpPr txBox="1">
          <a:spLocks noChangeArrowheads="1"/>
        </xdr:cNvSpPr>
      </xdr:nvSpPr>
      <xdr:spPr bwMode="auto">
        <a:xfrm>
          <a:off x="13452764" y="2966259"/>
          <a:ext cx="2871355" cy="58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2400" b="0">
              <a:solidFill>
                <a:schemeClr val="bg1"/>
              </a:solidFill>
              <a:effectLst/>
              <a:latin typeface="+mn-lt"/>
              <a:ea typeface="+mn-ea"/>
              <a:cs typeface="+mn-cs"/>
            </a:rPr>
            <a:t>Customer</a:t>
          </a:r>
          <a:r>
            <a:rPr lang="en-US" sz="2400" b="0" baseline="0">
              <a:solidFill>
                <a:schemeClr val="bg1"/>
              </a:solidFill>
              <a:effectLst/>
              <a:latin typeface="+mn-lt"/>
              <a:ea typeface="+mn-ea"/>
              <a:cs typeface="+mn-cs"/>
            </a:rPr>
            <a:t> Types</a:t>
          </a:r>
          <a:endParaRPr lang="en-US" sz="2400" b="0">
            <a:solidFill>
              <a:schemeClr val="bg1"/>
            </a:solidFill>
            <a:effectLst/>
            <a:latin typeface="+mn-lt"/>
            <a:ea typeface="+mn-ea"/>
            <a:cs typeface="+mn-cs"/>
          </a:endParaRPr>
        </a:p>
      </xdr:txBody>
    </xdr:sp>
    <xdr:clientData/>
  </xdr:twoCellAnchor>
  <xdr:twoCellAnchor editAs="oneCell">
    <xdr:from>
      <xdr:col>21</xdr:col>
      <xdr:colOff>246613</xdr:colOff>
      <xdr:row>16</xdr:row>
      <xdr:rowOff>104602</xdr:rowOff>
    </xdr:from>
    <xdr:to>
      <xdr:col>22</xdr:col>
      <xdr:colOff>96982</xdr:colOff>
      <xdr:row>19</xdr:row>
      <xdr:rowOff>15775</xdr:rowOff>
    </xdr:to>
    <xdr:pic>
      <xdr:nvPicPr>
        <xdr:cNvPr id="51" name="Picture 50">
          <a:extLst>
            <a:ext uri="{FF2B5EF4-FFF2-40B4-BE49-F238E27FC236}">
              <a16:creationId xmlns:a16="http://schemas.microsoft.com/office/drawing/2014/main" id="{600ED97B-D234-03B9-2DF7-2D50F87B578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048213" y="2986347"/>
          <a:ext cx="459969" cy="451501"/>
        </a:xfrm>
        <a:prstGeom prst="rect">
          <a:avLst/>
        </a:prstGeom>
      </xdr:spPr>
    </xdr:pic>
    <xdr:clientData/>
  </xdr:twoCellAnchor>
  <xdr:twoCellAnchor>
    <xdr:from>
      <xdr:col>4</xdr:col>
      <xdr:colOff>401782</xdr:colOff>
      <xdr:row>32</xdr:row>
      <xdr:rowOff>152400</xdr:rowOff>
    </xdr:from>
    <xdr:to>
      <xdr:col>15</xdr:col>
      <xdr:colOff>105882</xdr:colOff>
      <xdr:row>51</xdr:row>
      <xdr:rowOff>96981</xdr:rowOff>
    </xdr:to>
    <xdr:sp macro="" textlink="">
      <xdr:nvSpPr>
        <xdr:cNvPr id="52" name="Rectangle: Rounded Corners 51">
          <a:extLst>
            <a:ext uri="{FF2B5EF4-FFF2-40B4-BE49-F238E27FC236}">
              <a16:creationId xmlns:a16="http://schemas.microsoft.com/office/drawing/2014/main" id="{5359618A-99B1-456D-B942-846EE94701D6}"/>
            </a:ext>
          </a:extLst>
        </xdr:cNvPr>
        <xdr:cNvSpPr/>
      </xdr:nvSpPr>
      <xdr:spPr>
        <a:xfrm>
          <a:off x="2840182" y="5915891"/>
          <a:ext cx="6409700" cy="3366654"/>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800" b="1">
            <a:solidFill>
              <a:srgbClr val="A60311"/>
            </a:solidFill>
            <a:latin typeface="+mn-lt"/>
            <a:ea typeface="+mn-ea"/>
            <a:cs typeface="+mn-cs"/>
          </a:endParaRPr>
        </a:p>
      </xdr:txBody>
    </xdr:sp>
    <xdr:clientData/>
  </xdr:twoCellAnchor>
  <xdr:twoCellAnchor>
    <xdr:from>
      <xdr:col>4</xdr:col>
      <xdr:colOff>412377</xdr:colOff>
      <xdr:row>33</xdr:row>
      <xdr:rowOff>129486</xdr:rowOff>
    </xdr:from>
    <xdr:to>
      <xdr:col>14</xdr:col>
      <xdr:colOff>564777</xdr:colOff>
      <xdr:row>51</xdr:row>
      <xdr:rowOff>161192</xdr:rowOff>
    </xdr:to>
    <xdr:graphicFrame macro="">
      <xdr:nvGraphicFramePr>
        <xdr:cNvPr id="53" name="Chart 52">
          <a:extLst>
            <a:ext uri="{FF2B5EF4-FFF2-40B4-BE49-F238E27FC236}">
              <a16:creationId xmlns:a16="http://schemas.microsoft.com/office/drawing/2014/main" id="{1C6A721F-4844-4ACE-BA41-938738BDC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599820</xdr:colOff>
      <xdr:row>32</xdr:row>
      <xdr:rowOff>179029</xdr:rowOff>
    </xdr:from>
    <xdr:to>
      <xdr:col>12</xdr:col>
      <xdr:colOff>443346</xdr:colOff>
      <xdr:row>37</xdr:row>
      <xdr:rowOff>8699</xdr:rowOff>
    </xdr:to>
    <xdr:sp macro="" textlink="">
      <xdr:nvSpPr>
        <xdr:cNvPr id="54" name="Text Box 1">
          <a:extLst>
            <a:ext uri="{FF2B5EF4-FFF2-40B4-BE49-F238E27FC236}">
              <a16:creationId xmlns:a16="http://schemas.microsoft.com/office/drawing/2014/main" id="{4B2800B7-C92C-4C6B-BCD2-375645F04C0E}"/>
            </a:ext>
          </a:extLst>
        </xdr:cNvPr>
        <xdr:cNvSpPr txBox="1">
          <a:spLocks noChangeArrowheads="1"/>
        </xdr:cNvSpPr>
      </xdr:nvSpPr>
      <xdr:spPr bwMode="auto">
        <a:xfrm>
          <a:off x="4257420" y="5942520"/>
          <a:ext cx="3501126" cy="730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3200" b="0">
              <a:solidFill>
                <a:schemeClr val="bg1"/>
              </a:solidFill>
              <a:effectLst/>
              <a:latin typeface="+mn-lt"/>
              <a:ea typeface="+mn-ea"/>
              <a:cs typeface="+mn-cs"/>
            </a:rPr>
            <a:t>Sales by Area</a:t>
          </a:r>
        </a:p>
      </xdr:txBody>
    </xdr:sp>
    <xdr:clientData/>
  </xdr:twoCellAnchor>
  <xdr:twoCellAnchor>
    <xdr:from>
      <xdr:col>15</xdr:col>
      <xdr:colOff>188422</xdr:colOff>
      <xdr:row>33</xdr:row>
      <xdr:rowOff>6234</xdr:rowOff>
    </xdr:from>
    <xdr:to>
      <xdr:col>27</xdr:col>
      <xdr:colOff>304800</xdr:colOff>
      <xdr:row>51</xdr:row>
      <xdr:rowOff>152400</xdr:rowOff>
    </xdr:to>
    <xdr:sp macro="" textlink="">
      <xdr:nvSpPr>
        <xdr:cNvPr id="56" name="Rectangle: Rounded Corners 55">
          <a:extLst>
            <a:ext uri="{FF2B5EF4-FFF2-40B4-BE49-F238E27FC236}">
              <a16:creationId xmlns:a16="http://schemas.microsoft.com/office/drawing/2014/main" id="{2BF96E76-340C-44EC-B6B9-D8E3DDA16175}"/>
            </a:ext>
          </a:extLst>
        </xdr:cNvPr>
        <xdr:cNvSpPr/>
      </xdr:nvSpPr>
      <xdr:spPr>
        <a:xfrm>
          <a:off x="9332422" y="5949834"/>
          <a:ext cx="7431578" cy="3388130"/>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800" b="1">
            <a:solidFill>
              <a:srgbClr val="A60311"/>
            </a:solidFill>
            <a:latin typeface="+mn-lt"/>
            <a:ea typeface="+mn-ea"/>
            <a:cs typeface="+mn-cs"/>
          </a:endParaRPr>
        </a:p>
      </xdr:txBody>
    </xdr:sp>
    <xdr:clientData/>
  </xdr:twoCellAnchor>
  <xdr:twoCellAnchor>
    <xdr:from>
      <xdr:col>15</xdr:col>
      <xdr:colOff>207817</xdr:colOff>
      <xdr:row>35</xdr:row>
      <xdr:rowOff>175258</xdr:rowOff>
    </xdr:from>
    <xdr:to>
      <xdr:col>27</xdr:col>
      <xdr:colOff>235527</xdr:colOff>
      <xdr:row>52</xdr:row>
      <xdr:rowOff>27708</xdr:rowOff>
    </xdr:to>
    <xdr:graphicFrame macro="">
      <xdr:nvGraphicFramePr>
        <xdr:cNvPr id="57" name="Chart 56">
          <a:extLst>
            <a:ext uri="{FF2B5EF4-FFF2-40B4-BE49-F238E27FC236}">
              <a16:creationId xmlns:a16="http://schemas.microsoft.com/office/drawing/2014/main" id="{F1E1A023-EEA0-440A-A06B-853BB1310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358833</xdr:colOff>
      <xdr:row>33</xdr:row>
      <xdr:rowOff>26629</xdr:rowOff>
    </xdr:from>
    <xdr:to>
      <xdr:col>24</xdr:col>
      <xdr:colOff>202359</xdr:colOff>
      <xdr:row>37</xdr:row>
      <xdr:rowOff>36408</xdr:rowOff>
    </xdr:to>
    <xdr:sp macro="" textlink="">
      <xdr:nvSpPr>
        <xdr:cNvPr id="58" name="Text Box 1">
          <a:extLst>
            <a:ext uri="{FF2B5EF4-FFF2-40B4-BE49-F238E27FC236}">
              <a16:creationId xmlns:a16="http://schemas.microsoft.com/office/drawing/2014/main" id="{0820203C-B0BD-4371-AF86-12204E1A9381}"/>
            </a:ext>
          </a:extLst>
        </xdr:cNvPr>
        <xdr:cNvSpPr txBox="1">
          <a:spLocks noChangeArrowheads="1"/>
        </xdr:cNvSpPr>
      </xdr:nvSpPr>
      <xdr:spPr bwMode="auto">
        <a:xfrm>
          <a:off x="11331633" y="5970229"/>
          <a:ext cx="3501126" cy="730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3200" b="0">
              <a:solidFill>
                <a:schemeClr val="bg1"/>
              </a:solidFill>
              <a:effectLst/>
              <a:latin typeface="+mn-lt"/>
              <a:ea typeface="+mn-ea"/>
              <a:cs typeface="+mn-cs"/>
            </a:rPr>
            <a:t>Top</a:t>
          </a:r>
          <a:r>
            <a:rPr lang="en-US" sz="3200" b="0" baseline="0">
              <a:solidFill>
                <a:schemeClr val="bg1"/>
              </a:solidFill>
              <a:effectLst/>
              <a:latin typeface="+mn-lt"/>
              <a:ea typeface="+mn-ea"/>
              <a:cs typeface="+mn-cs"/>
            </a:rPr>
            <a:t> Color Sold</a:t>
          </a:r>
          <a:endParaRPr lang="en-US" sz="3200" b="0">
            <a:solidFill>
              <a:schemeClr val="bg1"/>
            </a:solidFill>
            <a:effectLst/>
            <a:latin typeface="+mn-lt"/>
            <a:ea typeface="+mn-ea"/>
            <a:cs typeface="+mn-cs"/>
          </a:endParaRPr>
        </a:p>
      </xdr:txBody>
    </xdr:sp>
    <xdr:clientData/>
  </xdr:twoCellAnchor>
  <xdr:twoCellAnchor>
    <xdr:from>
      <xdr:col>27</xdr:col>
      <xdr:colOff>415638</xdr:colOff>
      <xdr:row>16</xdr:row>
      <xdr:rowOff>29308</xdr:rowOff>
    </xdr:from>
    <xdr:to>
      <xdr:col>36</xdr:col>
      <xdr:colOff>96982</xdr:colOff>
      <xdr:row>51</xdr:row>
      <xdr:rowOff>124691</xdr:rowOff>
    </xdr:to>
    <xdr:sp macro="" textlink="">
      <xdr:nvSpPr>
        <xdr:cNvPr id="59" name="Rectangle: Rounded Corners 58">
          <a:extLst>
            <a:ext uri="{FF2B5EF4-FFF2-40B4-BE49-F238E27FC236}">
              <a16:creationId xmlns:a16="http://schemas.microsoft.com/office/drawing/2014/main" id="{EB3AC6C3-056A-467A-88AC-C88ED8D59D59}"/>
            </a:ext>
          </a:extLst>
        </xdr:cNvPr>
        <xdr:cNvSpPr/>
      </xdr:nvSpPr>
      <xdr:spPr>
        <a:xfrm>
          <a:off x="17033100" y="2842846"/>
          <a:ext cx="5220497" cy="6249999"/>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800" b="1">
            <a:solidFill>
              <a:srgbClr val="A60311"/>
            </a:solidFill>
            <a:latin typeface="+mn-lt"/>
            <a:ea typeface="+mn-ea"/>
            <a:cs typeface="+mn-cs"/>
          </a:endParaRPr>
        </a:p>
      </xdr:txBody>
    </xdr:sp>
    <xdr:clientData/>
  </xdr:twoCellAnchor>
  <xdr:twoCellAnchor>
    <xdr:from>
      <xdr:col>28</xdr:col>
      <xdr:colOff>41564</xdr:colOff>
      <xdr:row>19</xdr:row>
      <xdr:rowOff>27710</xdr:rowOff>
    </xdr:from>
    <xdr:to>
      <xdr:col>35</xdr:col>
      <xdr:colOff>304801</xdr:colOff>
      <xdr:row>51</xdr:row>
      <xdr:rowOff>27709</xdr:rowOff>
    </xdr:to>
    <xdr:graphicFrame macro="">
      <xdr:nvGraphicFramePr>
        <xdr:cNvPr id="60" name="Chart 59">
          <a:extLst>
            <a:ext uri="{FF2B5EF4-FFF2-40B4-BE49-F238E27FC236}">
              <a16:creationId xmlns:a16="http://schemas.microsoft.com/office/drawing/2014/main" id="{7657DF5C-05A7-40B1-A260-6AB116119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261606</xdr:colOff>
      <xdr:row>16</xdr:row>
      <xdr:rowOff>66014</xdr:rowOff>
    </xdr:from>
    <xdr:to>
      <xdr:col>34</xdr:col>
      <xdr:colOff>84961</xdr:colOff>
      <xdr:row>19</xdr:row>
      <xdr:rowOff>106190</xdr:rowOff>
    </xdr:to>
    <xdr:sp macro="" textlink="">
      <xdr:nvSpPr>
        <xdr:cNvPr id="61" name="Text Box 2">
          <a:extLst>
            <a:ext uri="{FF2B5EF4-FFF2-40B4-BE49-F238E27FC236}">
              <a16:creationId xmlns:a16="http://schemas.microsoft.com/office/drawing/2014/main" id="{E2418DFD-9D60-422C-899A-32F332B8FD05}"/>
            </a:ext>
          </a:extLst>
        </xdr:cNvPr>
        <xdr:cNvSpPr txBox="1">
          <a:spLocks noChangeArrowheads="1"/>
        </xdr:cNvSpPr>
      </xdr:nvSpPr>
      <xdr:spPr bwMode="auto">
        <a:xfrm>
          <a:off x="17940006" y="2947759"/>
          <a:ext cx="2871355" cy="58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2400" b="0">
              <a:solidFill>
                <a:schemeClr val="bg1"/>
              </a:solidFill>
              <a:effectLst/>
              <a:latin typeface="+mn-lt"/>
              <a:ea typeface="+mn-ea"/>
              <a:cs typeface="+mn-cs"/>
            </a:rPr>
            <a:t>Top Selling Products</a:t>
          </a:r>
        </a:p>
      </xdr:txBody>
    </xdr:sp>
    <xdr:clientData/>
  </xdr:twoCellAnchor>
  <xdr:twoCellAnchor>
    <xdr:from>
      <xdr:col>20</xdr:col>
      <xdr:colOff>318656</xdr:colOff>
      <xdr:row>6</xdr:row>
      <xdr:rowOff>96981</xdr:rowOff>
    </xdr:from>
    <xdr:to>
      <xdr:col>26</xdr:col>
      <xdr:colOff>41564</xdr:colOff>
      <xdr:row>15</xdr:row>
      <xdr:rowOff>129639</xdr:rowOff>
    </xdr:to>
    <xdr:sp macro="" textlink="">
      <xdr:nvSpPr>
        <xdr:cNvPr id="62" name="Rectangle: Rounded Corners 61">
          <a:extLst>
            <a:ext uri="{FF2B5EF4-FFF2-40B4-BE49-F238E27FC236}">
              <a16:creationId xmlns:a16="http://schemas.microsoft.com/office/drawing/2014/main" id="{D290D9D6-5C03-4E1B-ACBE-50FD2E063173}"/>
            </a:ext>
          </a:extLst>
        </xdr:cNvPr>
        <xdr:cNvSpPr/>
      </xdr:nvSpPr>
      <xdr:spPr>
        <a:xfrm>
          <a:off x="12510656" y="1177636"/>
          <a:ext cx="3380508" cy="1653639"/>
        </a:xfrm>
        <a:prstGeom prst="roundRect">
          <a:avLst/>
        </a:prstGeom>
        <a:solidFill>
          <a:srgbClr val="1729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800" b="1">
            <a:solidFill>
              <a:srgbClr val="A60311"/>
            </a:solidFill>
            <a:latin typeface="+mn-lt"/>
            <a:ea typeface="+mn-ea"/>
            <a:cs typeface="+mn-cs"/>
          </a:endParaRPr>
        </a:p>
      </xdr:txBody>
    </xdr:sp>
    <xdr:clientData/>
  </xdr:twoCellAnchor>
  <xdr:twoCellAnchor>
    <xdr:from>
      <xdr:col>20</xdr:col>
      <xdr:colOff>387928</xdr:colOff>
      <xdr:row>6</xdr:row>
      <xdr:rowOff>96981</xdr:rowOff>
    </xdr:from>
    <xdr:to>
      <xdr:col>25</xdr:col>
      <xdr:colOff>464128</xdr:colOff>
      <xdr:row>10</xdr:row>
      <xdr:rowOff>107867</xdr:rowOff>
    </xdr:to>
    <xdr:sp macro="" textlink="">
      <xdr:nvSpPr>
        <xdr:cNvPr id="63" name="TextBox 62">
          <a:extLst>
            <a:ext uri="{FF2B5EF4-FFF2-40B4-BE49-F238E27FC236}">
              <a16:creationId xmlns:a16="http://schemas.microsoft.com/office/drawing/2014/main" id="{FF42BFDD-C04E-4390-8170-ED6D6965DBDC}"/>
            </a:ext>
          </a:extLst>
        </xdr:cNvPr>
        <xdr:cNvSpPr txBox="1"/>
      </xdr:nvSpPr>
      <xdr:spPr>
        <a:xfrm>
          <a:off x="12579928" y="1177636"/>
          <a:ext cx="3124200" cy="73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0">
              <a:solidFill>
                <a:schemeClr val="bg1"/>
              </a:solidFill>
              <a:effectLst/>
              <a:latin typeface="+mn-lt"/>
              <a:ea typeface="+mn-ea"/>
              <a:cs typeface="+mn-cs"/>
            </a:rPr>
            <a:t>Average Delivery Day</a:t>
          </a:r>
          <a:endParaRPr lang="en-US" sz="1100"/>
        </a:p>
      </xdr:txBody>
    </xdr:sp>
    <xdr:clientData/>
  </xdr:twoCellAnchor>
  <xdr:twoCellAnchor>
    <xdr:from>
      <xdr:col>21</xdr:col>
      <xdr:colOff>443346</xdr:colOff>
      <xdr:row>10</xdr:row>
      <xdr:rowOff>83294</xdr:rowOff>
    </xdr:from>
    <xdr:to>
      <xdr:col>25</xdr:col>
      <xdr:colOff>288966</xdr:colOff>
      <xdr:row>13</xdr:row>
      <xdr:rowOff>13688</xdr:rowOff>
    </xdr:to>
    <xdr:sp macro="" textlink="Sheet2!F6">
      <xdr:nvSpPr>
        <xdr:cNvPr id="5120" name="TextBox 5119">
          <a:extLst>
            <a:ext uri="{FF2B5EF4-FFF2-40B4-BE49-F238E27FC236}">
              <a16:creationId xmlns:a16="http://schemas.microsoft.com/office/drawing/2014/main" id="{D6D75E14-4A1B-4A3E-A20D-48521A170284}"/>
            </a:ext>
          </a:extLst>
        </xdr:cNvPr>
        <xdr:cNvSpPr txBox="1"/>
      </xdr:nvSpPr>
      <xdr:spPr>
        <a:xfrm>
          <a:off x="13244946" y="1884385"/>
          <a:ext cx="2284020" cy="470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CD246FDD-5B83-48A9-A80A-96AA8410C588}" type="TxLink">
            <a:rPr lang="en-US" sz="40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19</a:t>
          </a:fld>
          <a:endParaRPr lang="en-US" sz="4000" b="1" i="0" u="none" strike="noStrike">
            <a:solidFill>
              <a:schemeClr val="bg1"/>
            </a:solidFill>
            <a:latin typeface="Calibri"/>
            <a:ea typeface="Calibri"/>
            <a:cs typeface="Calibri"/>
          </a:endParaRPr>
        </a:p>
      </xdr:txBody>
    </xdr:sp>
    <xdr:clientData/>
  </xdr:twoCellAnchor>
  <xdr:twoCellAnchor editAs="oneCell">
    <xdr:from>
      <xdr:col>21</xdr:col>
      <xdr:colOff>235528</xdr:colOff>
      <xdr:row>9</xdr:row>
      <xdr:rowOff>129456</xdr:rowOff>
    </xdr:from>
    <xdr:to>
      <xdr:col>22</xdr:col>
      <xdr:colOff>374073</xdr:colOff>
      <xdr:row>13</xdr:row>
      <xdr:rowOff>157165</xdr:rowOff>
    </xdr:to>
    <xdr:pic>
      <xdr:nvPicPr>
        <xdr:cNvPr id="5124" name="Picture 5123">
          <a:extLst>
            <a:ext uri="{FF2B5EF4-FFF2-40B4-BE49-F238E27FC236}">
              <a16:creationId xmlns:a16="http://schemas.microsoft.com/office/drawing/2014/main" id="{80FB3817-D201-59E3-A6FA-BB11EA545F4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3037128" y="1750438"/>
          <a:ext cx="748145" cy="74814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3.649375000001" createdVersion="8" refreshedVersion="8" minRefreshableVersion="3" recordCount="126" xr:uid="{C7209751-3E51-4C82-AC80-B32683C86FC7}">
  <cacheSource type="worksheet">
    <worksheetSource name="Table1_1"/>
  </cacheSource>
  <cacheFields count="22">
    <cacheField name="ID" numFmtId="0">
      <sharedItems containsSemiMixedTypes="0" containsString="0" containsNumber="1" containsInteger="1" minValue="1" maxValue="126"/>
    </cacheField>
    <cacheField name="أسم العميل" numFmtId="0">
      <sharedItems/>
    </cacheField>
    <cacheField name="نوع العميل" numFmtId="0">
      <sharedItems count="2">
        <s v="افراد"/>
        <s v="شركات"/>
      </sharedItems>
    </cacheField>
    <cacheField name="العنوان" numFmtId="0">
      <sharedItems containsBlank="1"/>
    </cacheField>
    <cacheField name="المحافظة" numFmtId="0">
      <sharedItems containsBlank="1" count="10">
        <s v="الجيزة"/>
        <s v="الإسكندرية"/>
        <s v="مطروح"/>
        <s v="البحر الأحمر"/>
        <s v="القاهرة"/>
        <s v="القليوبية"/>
        <s v="السويس"/>
        <s v="أسيوط"/>
        <s v="غير محدد"/>
        <m u="1"/>
      </sharedItems>
    </cacheField>
    <cacheField name="منصة البيع " numFmtId="0">
      <sharedItems count="14">
        <s v="هومزمارت"/>
        <s v="شيك هومز"/>
        <s v="فيس بوك"/>
        <s v="تاكى "/>
        <s v="اوسكار ريتن "/>
        <s v="السويس"/>
        <s v="منزلى "/>
        <s v="مسيو هومزمارت"/>
        <s v="كيمت "/>
        <s v="شيك هومز " u="1"/>
        <s v="تاكى" u="1"/>
        <s v="منزلى" u="1"/>
        <s v="فيسبوك" u="1"/>
        <s v="هومزمارت " u="1"/>
      </sharedItems>
    </cacheField>
    <cacheField name="طريقه الدفع" numFmtId="164">
      <sharedItems count="5">
        <s v="مسبق الدفع"/>
        <s v="كاش"/>
        <s v="حساب شركه"/>
        <s v="مسبق الدفع "/>
        <s v="مسبق"/>
      </sharedItems>
    </cacheField>
    <cacheField name="صنف" numFmtId="0">
      <sharedItems count="8">
        <s v="سرير"/>
        <s v="ترابيزه "/>
        <s v="كنبة"/>
        <s v="ركنه"/>
        <s v="فوتيه"/>
        <s v="شيزلونج"/>
        <s v="ترابيزه" u="1"/>
        <s v="سرير " u="1"/>
      </sharedItems>
    </cacheField>
    <cacheField name="اسم اصنف" numFmtId="0">
      <sharedItems containsBlank="1"/>
    </cacheField>
    <cacheField name="مقاس" numFmtId="0">
      <sharedItems containsBlank="1" containsMixedTypes="1" containsNumber="1" containsInteger="1" minValue="80" maxValue="160"/>
    </cacheField>
    <cacheField name="نوع الصنف.1" numFmtId="0">
      <sharedItems containsBlank="1"/>
    </cacheField>
    <cacheField name="لون معدن" numFmtId="0">
      <sharedItems containsBlank="1" count="14">
        <s v="ابيض"/>
        <s v="اسود"/>
        <s v="ازرق"/>
        <m/>
        <s v="رمادى"/>
        <s v="دهبي"/>
        <s v="بنفسجى"/>
        <s v="اسود وبنى"/>
        <s v="ملون"/>
        <s v="بينك"/>
        <s v="نبيتى "/>
        <s v="الوان"/>
        <s v="اسود " u="1"/>
        <s v="اسزد" u="1"/>
      </sharedItems>
    </cacheField>
    <cacheField name="لون قماش" numFmtId="0">
      <sharedItems containsBlank="1"/>
    </cacheField>
    <cacheField name="سعر البيع " numFmtId="164">
      <sharedItems containsString="0" containsBlank="1" containsNumber="1" minValue="4020" maxValue="22000"/>
    </cacheField>
    <cacheField name="ميعاد الطلب" numFmtId="165">
      <sharedItems containsNonDate="0" containsDate="1" containsString="0" containsBlank="1" minDate="2024-07-27T00:00:00" maxDate="2024-12-15T00:00:00" count="56">
        <d v="2024-07-27T00:00:00"/>
        <d v="2024-07-28T00:00:00"/>
        <d v="2024-08-25T00:00:00"/>
        <d v="2024-08-16T00:00:00"/>
        <d v="2024-08-14T00:00:00"/>
        <d v="2024-08-17T00:00:00"/>
        <d v="2024-08-19T00:00:00"/>
        <m/>
        <d v="2024-09-01T00:00:00"/>
        <d v="2024-09-05T00:00:00"/>
        <d v="2024-09-04T00:00:00"/>
        <d v="2024-09-03T00:00:00"/>
        <d v="2024-09-06T00:00:00"/>
        <d v="2024-09-09T00:00:00"/>
        <d v="2024-09-12T00:00:00"/>
        <d v="2024-09-14T00:00:00"/>
        <d v="2024-09-13T00:00:00"/>
        <d v="2024-09-15T00:00:00"/>
        <d v="2024-09-16T00:00:00"/>
        <d v="2024-09-21T00:00:00"/>
        <d v="2024-09-23T00:00:00"/>
        <d v="2024-09-26T00:00:00"/>
        <d v="2024-09-29T00:00:00"/>
        <d v="2024-10-01T00:00:00"/>
        <d v="2024-10-03T00:00:00"/>
        <d v="2024-10-08T00:00:00"/>
        <d v="2024-10-07T00:00:00"/>
        <d v="2024-10-10T00:00:00"/>
        <d v="2024-10-13T00:00:00"/>
        <d v="2024-10-16T00:00:00"/>
        <d v="2024-10-17T00:00:00"/>
        <d v="2024-10-20T00:00:00"/>
        <d v="2024-10-22T00:00:00"/>
        <d v="2024-10-21T00:00:00"/>
        <d v="2024-10-24T00:00:00"/>
        <d v="2024-10-26T00:00:00"/>
        <d v="2024-10-28T00:00:00"/>
        <d v="2024-11-11T00:00:00"/>
        <d v="2024-11-08T00:00:00"/>
        <d v="2024-11-10T00:00:00"/>
        <d v="2024-11-12T00:00:00"/>
        <d v="2024-11-14T00:00:00"/>
        <d v="2024-11-17T00:00:00"/>
        <d v="2024-11-20T00:00:00"/>
        <d v="2024-11-22T00:00:00"/>
        <d v="2024-11-24T00:00:00"/>
        <d v="2024-11-19T00:00:00"/>
        <d v="2024-11-27T00:00:00"/>
        <d v="2024-11-29T00:00:00"/>
        <d v="2024-11-30T00:00:00"/>
        <d v="2024-12-02T00:00:00"/>
        <d v="2024-12-01T00:00:00"/>
        <d v="2024-12-04T00:00:00"/>
        <d v="2024-12-09T00:00:00"/>
        <d v="2024-12-12T00:00:00"/>
        <d v="2024-12-14T00:00:00"/>
      </sharedItems>
    </cacheField>
    <cacheField name="ميعاد التسليم" numFmtId="165">
      <sharedItems containsDate="1" containsBlank="1" containsMixedTypes="1" minDate="2024-08-10T00:00:00" maxDate="2025-01-06T00:00:00"/>
    </cacheField>
    <cacheField name="تاريخ التسليم" numFmtId="165">
      <sharedItems containsDate="1" containsMixedTypes="1" minDate="2024-08-10T00:00:00" maxDate="2024-12-30T00:00:00"/>
    </cacheField>
    <cacheField name="مدة التسليم" numFmtId="1">
      <sharedItems containsMixedTypes="1" containsNumber="1" containsInteger="1" minValue="1" maxValue="59"/>
    </cacheField>
    <cacheField name="Delay Days" numFmtId="1">
      <sharedItems containsMixedTypes="1" containsNumber="1" containsInteger="1" minValue="-59" maxValue="20"/>
    </cacheField>
    <cacheField name="حالة الطلب" numFmtId="1">
      <sharedItems count="4">
        <s v="On Time"/>
        <s v="Failed"/>
        <s v="Early"/>
        <s v="Late"/>
      </sharedItems>
    </cacheField>
    <cacheField name="المسئول عن التسليم" numFmtId="0">
      <sharedItems containsBlank="1"/>
    </cacheField>
    <cacheField name="الحالة" numFmtId="0">
      <sharedItems count="4">
        <s v="تم التسليم"/>
        <s v="مرفوض "/>
        <s v="تم التسليم " u="1"/>
        <s v="مرتجع" u="1"/>
      </sharedItems>
    </cacheField>
  </cacheFields>
  <extLst>
    <ext xmlns:x14="http://schemas.microsoft.com/office/spreadsheetml/2009/9/main" uri="{725AE2AE-9491-48be-B2B4-4EB974FC3084}">
      <x14:pivotCacheDefinition pivotCacheId="2144892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n v="1"/>
    <s v="خالد عبد القوى "/>
    <x v="0"/>
    <s v="العجوزه - الجيزه"/>
    <x v="0"/>
    <x v="0"/>
    <x v="0"/>
    <x v="0"/>
    <m/>
    <m/>
    <s v="منطبق"/>
    <x v="0"/>
    <s v="ابيض"/>
    <n v="10160"/>
    <x v="0"/>
    <d v="2024-08-10T00:00:00"/>
    <d v="2024-08-10T00:00:00"/>
    <n v="14"/>
    <n v="0"/>
    <x v="0"/>
    <s v="تم التسليم عن طريق شركه شحن "/>
    <x v="0"/>
  </r>
  <r>
    <n v="2"/>
    <s v="محمود"/>
    <x v="0"/>
    <s v="سموحه - اسكندريه"/>
    <x v="1"/>
    <x v="0"/>
    <x v="1"/>
    <x v="0"/>
    <m/>
    <m/>
    <s v="منطبق"/>
    <x v="1"/>
    <s v="اسود"/>
    <n v="10160"/>
    <x v="1"/>
    <d v="2024-08-11T00:00:00"/>
    <d v="2024-08-11T00:00:00"/>
    <n v="14"/>
    <n v="0"/>
    <x v="0"/>
    <s v="تم التسليم عن طريق شركه شحن "/>
    <x v="0"/>
  </r>
  <r>
    <n v="3"/>
    <s v="سعيد"/>
    <x v="0"/>
    <s v="سيدى عبد الرحمن - الساحل الشمالى "/>
    <x v="2"/>
    <x v="0"/>
    <x v="1"/>
    <x v="0"/>
    <s v="كيفنج"/>
    <n v="90"/>
    <s v="دورين"/>
    <x v="2"/>
    <m/>
    <n v="11455"/>
    <x v="0"/>
    <m/>
    <s v="فشل التسليم"/>
    <s v=""/>
    <s v=""/>
    <x v="1"/>
    <s v="فشل التسليم "/>
    <x v="1"/>
  </r>
  <r>
    <n v="4"/>
    <s v="ساندرا"/>
    <x v="0"/>
    <s v="الغردقه "/>
    <x v="3"/>
    <x v="0"/>
    <x v="0"/>
    <x v="1"/>
    <s v="قهوه"/>
    <m/>
    <s v="متحركة"/>
    <x v="3"/>
    <m/>
    <n v="8642"/>
    <x v="2"/>
    <d v="2024-09-07T00:00:00"/>
    <d v="2024-08-27T00:00:00"/>
    <n v="2"/>
    <n v="-11"/>
    <x v="2"/>
    <s v="تم التسليم عن طريق شركه شحن "/>
    <x v="0"/>
  </r>
  <r>
    <n v="5"/>
    <s v="زينا "/>
    <x v="0"/>
    <s v="سيدى عبد الرحمن - الساحل الشمالى "/>
    <x v="2"/>
    <x v="0"/>
    <x v="1"/>
    <x v="0"/>
    <s v="نوفال"/>
    <n v="100"/>
    <s v="دورين"/>
    <x v="4"/>
    <m/>
    <n v="12833"/>
    <x v="3"/>
    <d v="2024-08-31T00:00:00"/>
    <s v="فشل التسليم"/>
    <s v=""/>
    <s v=""/>
    <x v="1"/>
    <s v="فشل التسليم "/>
    <x v="1"/>
  </r>
  <r>
    <n v="6"/>
    <s v="شيك هومز "/>
    <x v="1"/>
    <m/>
    <x v="0"/>
    <x v="1"/>
    <x v="0"/>
    <x v="2"/>
    <m/>
    <m/>
    <s v="4*1"/>
    <x v="3"/>
    <s v="رمادى"/>
    <n v="14550"/>
    <x v="4"/>
    <d v="2024-09-03T00:00:00"/>
    <d v="2024-09-05T00:00:00"/>
    <n v="22"/>
    <n v="2"/>
    <x v="3"/>
    <s v="تم التسليم عن طريق شركه شحن "/>
    <x v="0"/>
  </r>
  <r>
    <n v="7"/>
    <s v="احمد "/>
    <x v="0"/>
    <s v="التجمع الخامس"/>
    <x v="4"/>
    <x v="2"/>
    <x v="1"/>
    <x v="2"/>
    <m/>
    <m/>
    <s v="4*1"/>
    <x v="3"/>
    <s v="رمادى"/>
    <n v="12000"/>
    <x v="5"/>
    <d v="2024-08-20T00:00:00"/>
    <d v="2024-08-19T00:00:00"/>
    <n v="2"/>
    <n v="-1"/>
    <x v="2"/>
    <s v="تم التسليم عن طريق شركه شحن "/>
    <x v="0"/>
  </r>
  <r>
    <n v="8"/>
    <s v="yilmaz"/>
    <x v="0"/>
    <s v="٦ اكتوبر الجيزه "/>
    <x v="0"/>
    <x v="0"/>
    <x v="0"/>
    <x v="0"/>
    <m/>
    <m/>
    <s v="فردى"/>
    <x v="3"/>
    <s v="ابيض"/>
    <n v="7228"/>
    <x v="2"/>
    <d v="2024-09-03T00:00:00"/>
    <d v="2024-09-10T00:00:00"/>
    <n v="16"/>
    <n v="7"/>
    <x v="3"/>
    <s v="تم التسليم عن طريق شركه شحن "/>
    <x v="0"/>
  </r>
  <r>
    <n v="9"/>
    <s v="تاكى "/>
    <x v="1"/>
    <s v="العباسيه"/>
    <x v="4"/>
    <x v="3"/>
    <x v="1"/>
    <x v="3"/>
    <m/>
    <m/>
    <s v="ركنة بسرير"/>
    <x v="3"/>
    <m/>
    <n v="22000"/>
    <x v="6"/>
    <d v="2024-09-01T00:00:00"/>
    <d v="2024-09-17T00:00:00"/>
    <n v="29"/>
    <n v="16"/>
    <x v="3"/>
    <m/>
    <x v="0"/>
  </r>
  <r>
    <n v="10"/>
    <s v="تاكى "/>
    <x v="1"/>
    <s v="العباسيه"/>
    <x v="4"/>
    <x v="3"/>
    <x v="1"/>
    <x v="2"/>
    <m/>
    <m/>
    <s v="سحارة"/>
    <x v="3"/>
    <m/>
    <n v="16000"/>
    <x v="7"/>
    <m/>
    <s v="فشل التسليم"/>
    <s v=""/>
    <s v=""/>
    <x v="1"/>
    <s v="فشل التسليم "/>
    <x v="1"/>
  </r>
  <r>
    <n v="11"/>
    <s v="تاكى "/>
    <x v="1"/>
    <s v="العباسيه "/>
    <x v="4"/>
    <x v="3"/>
    <x v="1"/>
    <x v="2"/>
    <m/>
    <m/>
    <s v="سحارة"/>
    <x v="3"/>
    <m/>
    <n v="6000"/>
    <x v="2"/>
    <d v="2024-09-15T00:00:00"/>
    <d v="2024-09-17T00:00:00"/>
    <n v="23"/>
    <n v="2"/>
    <x v="3"/>
    <s v="تم التسليم محمود على "/>
    <x v="0"/>
  </r>
  <r>
    <n v="12"/>
    <s v="تاكى "/>
    <x v="1"/>
    <s v="العباسيه "/>
    <x v="4"/>
    <x v="3"/>
    <x v="1"/>
    <x v="2"/>
    <m/>
    <m/>
    <s v="سحارة"/>
    <x v="3"/>
    <m/>
    <n v="6000"/>
    <x v="2"/>
    <d v="2024-09-15T00:00:00"/>
    <d v="2024-09-17T00:00:00"/>
    <n v="23"/>
    <n v="2"/>
    <x v="3"/>
    <s v="تم التسليم محمود على "/>
    <x v="0"/>
  </r>
  <r>
    <n v="13"/>
    <s v="على رشوان "/>
    <x v="0"/>
    <s v="مصر الجديده"/>
    <x v="4"/>
    <x v="0"/>
    <x v="1"/>
    <x v="0"/>
    <s v="نوفال"/>
    <n v="80"/>
    <s v="دورين"/>
    <x v="0"/>
    <m/>
    <n v="10499"/>
    <x v="8"/>
    <d v="2024-09-16T00:00:00"/>
    <d v="2024-09-08T00:00:00"/>
    <n v="7"/>
    <n v="-8"/>
    <x v="2"/>
    <s v="تم التسليم عن طريق شركه شحن "/>
    <x v="0"/>
  </r>
  <r>
    <n v="14"/>
    <s v="احمد فخرى "/>
    <x v="0"/>
    <s v="٦ اكتوبر الجيزه "/>
    <x v="0"/>
    <x v="0"/>
    <x v="1"/>
    <x v="0"/>
    <s v="نوفال"/>
    <n v="80"/>
    <s v="فردى"/>
    <x v="0"/>
    <m/>
    <n v="7295"/>
    <x v="9"/>
    <d v="2024-09-14T00:00:00"/>
    <s v="فشل التسليم"/>
    <s v=""/>
    <s v=""/>
    <x v="1"/>
    <s v="فشل التسليم "/>
    <x v="1"/>
  </r>
  <r>
    <n v="15"/>
    <s v="لينا "/>
    <x v="0"/>
    <s v="المقطم "/>
    <x v="4"/>
    <x v="0"/>
    <x v="0"/>
    <x v="1"/>
    <m/>
    <m/>
    <s v="2 ميكانزم"/>
    <x v="3"/>
    <m/>
    <n v="7849"/>
    <x v="10"/>
    <d v="2024-09-16T00:00:00"/>
    <d v="2024-09-25T00:00:00"/>
    <n v="21"/>
    <n v="9"/>
    <x v="3"/>
    <s v="تم التسليم عن طريق شركه شحن "/>
    <x v="1"/>
  </r>
  <r>
    <n v="16"/>
    <s v="فيصل نعيم "/>
    <x v="0"/>
    <s v="التجمع الخامس "/>
    <x v="4"/>
    <x v="4"/>
    <x v="1"/>
    <x v="0"/>
    <s v="كيفنج"/>
    <n v="120"/>
    <s v="دورين"/>
    <x v="1"/>
    <m/>
    <n v="6180"/>
    <x v="11"/>
    <d v="2024-09-16T00:00:00"/>
    <d v="2024-09-15T00:00:00"/>
    <n v="12"/>
    <n v="-1"/>
    <x v="2"/>
    <s v="تم التسليم محمود على "/>
    <x v="0"/>
  </r>
  <r>
    <n v="17"/>
    <s v="فيصل نعيم "/>
    <x v="0"/>
    <s v="التجمع الخامس "/>
    <x v="4"/>
    <x v="4"/>
    <x v="1"/>
    <x v="0"/>
    <s v="كيفنج"/>
    <n v="120"/>
    <s v="دورين"/>
    <x v="1"/>
    <m/>
    <n v="6180"/>
    <x v="11"/>
    <d v="2024-09-16T00:00:00"/>
    <d v="2024-09-15T00:00:00"/>
    <n v="12"/>
    <n v="-1"/>
    <x v="2"/>
    <s v="تم التسليم محمود على "/>
    <x v="0"/>
  </r>
  <r>
    <n v="18"/>
    <s v="ellho elkafy"/>
    <x v="0"/>
    <s v="مدينه نصر "/>
    <x v="4"/>
    <x v="0"/>
    <x v="1"/>
    <x v="0"/>
    <s v="كينج"/>
    <n v="80"/>
    <s v="دورين"/>
    <x v="0"/>
    <m/>
    <n v="11199"/>
    <x v="10"/>
    <d v="2024-09-18T00:00:00"/>
    <s v="فشل التسليم"/>
    <s v=""/>
    <s v=""/>
    <x v="1"/>
    <s v="فشل التسليم "/>
    <x v="1"/>
  </r>
  <r>
    <n v="19"/>
    <s v="احمد "/>
    <x v="0"/>
    <s v="القاهره الجديده"/>
    <x v="4"/>
    <x v="0"/>
    <x v="0"/>
    <x v="0"/>
    <s v="فورجينا"/>
    <n v="80"/>
    <s v="فردى"/>
    <x v="0"/>
    <m/>
    <n v="7987"/>
    <x v="12"/>
    <d v="2024-09-16T00:00:00"/>
    <d v="2024-09-21T00:00:00"/>
    <n v="15"/>
    <n v="5"/>
    <x v="3"/>
    <s v="تم التسليم محمود على "/>
    <x v="0"/>
  </r>
  <r>
    <n v="20"/>
    <s v="تاكى"/>
    <x v="1"/>
    <s v="العباسيه"/>
    <x v="4"/>
    <x v="3"/>
    <x v="1"/>
    <x v="4"/>
    <s v="فنيسيا"/>
    <m/>
    <s v="فنسيا"/>
    <x v="3"/>
    <m/>
    <n v="9300"/>
    <x v="10"/>
    <d v="2024-09-15T00:00:00"/>
    <d v="2024-09-17T00:00:00"/>
    <n v="13"/>
    <n v="2"/>
    <x v="3"/>
    <s v="تم التسليم محمود على "/>
    <x v="0"/>
  </r>
  <r>
    <n v="21"/>
    <s v="احمد "/>
    <x v="0"/>
    <s v="القاهره الجديده"/>
    <x v="4"/>
    <x v="0"/>
    <x v="0"/>
    <x v="0"/>
    <s v="فورجينا"/>
    <n v="80"/>
    <s v="فردى"/>
    <x v="0"/>
    <m/>
    <n v="7987"/>
    <x v="12"/>
    <d v="2024-09-16T00:00:00"/>
    <d v="2024-09-21T00:00:00"/>
    <n v="15"/>
    <n v="5"/>
    <x v="3"/>
    <s v="تم التسليم محمود على "/>
    <x v="0"/>
  </r>
  <r>
    <n v="22"/>
    <s v="احمد "/>
    <x v="0"/>
    <s v="القاهره الجديده"/>
    <x v="4"/>
    <x v="0"/>
    <x v="0"/>
    <x v="0"/>
    <s v="فورجينا"/>
    <n v="80"/>
    <s v="فردى"/>
    <x v="0"/>
    <m/>
    <n v="7987"/>
    <x v="12"/>
    <d v="2024-09-16T00:00:00"/>
    <d v="2024-09-21T00:00:00"/>
    <n v="15"/>
    <n v="5"/>
    <x v="3"/>
    <s v="تم التسليم محمود على "/>
    <x v="0"/>
  </r>
  <r>
    <n v="23"/>
    <s v="احمد "/>
    <x v="0"/>
    <s v="القاهره الجديده"/>
    <x v="4"/>
    <x v="0"/>
    <x v="0"/>
    <x v="0"/>
    <s v="فورجينا"/>
    <n v="80"/>
    <s v="فردى"/>
    <x v="0"/>
    <m/>
    <n v="7987"/>
    <x v="12"/>
    <d v="2024-09-16T00:00:00"/>
    <d v="2024-09-21T00:00:00"/>
    <n v="15"/>
    <n v="5"/>
    <x v="3"/>
    <s v="تم التسليم محمود على "/>
    <x v="0"/>
  </r>
  <r>
    <n v="24"/>
    <s v="صفاء"/>
    <x v="0"/>
    <s v="المعادى"/>
    <x v="4"/>
    <x v="0"/>
    <x v="0"/>
    <x v="1"/>
    <m/>
    <m/>
    <s v="2 ميكانزم"/>
    <x v="3"/>
    <m/>
    <n v="8849"/>
    <x v="11"/>
    <d v="2024-10-16T00:00:00"/>
    <s v="فشل التسليم"/>
    <s v=""/>
    <s v=""/>
    <x v="1"/>
    <s v="فشل التسليم "/>
    <x v="1"/>
  </r>
  <r>
    <n v="25"/>
    <s v="حسن حازم"/>
    <x v="0"/>
    <s v="٦ اكتوبر الجيزه "/>
    <x v="0"/>
    <x v="0"/>
    <x v="0"/>
    <x v="0"/>
    <s v="اسبانى"/>
    <n v="120"/>
    <s v="فردى"/>
    <x v="0"/>
    <m/>
    <n v="10987"/>
    <x v="13"/>
    <d v="2024-09-17T00:00:00"/>
    <d v="2024-09-21T00:00:00"/>
    <n v="12"/>
    <n v="4"/>
    <x v="3"/>
    <s v="تم التسليم محمود على "/>
    <x v="0"/>
  </r>
  <r>
    <n v="26"/>
    <s v="شيك هومز "/>
    <x v="1"/>
    <m/>
    <x v="0"/>
    <x v="1"/>
    <x v="1"/>
    <x v="0"/>
    <s v="كينج"/>
    <n v="100"/>
    <s v="دورين"/>
    <x v="0"/>
    <m/>
    <n v="9208"/>
    <x v="8"/>
    <d v="2024-09-19T00:00:00"/>
    <d v="2024-09-21T00:00:00"/>
    <n v="20"/>
    <n v="2"/>
    <x v="3"/>
    <s v="تم التسليم محمود على "/>
    <x v="0"/>
  </r>
  <r>
    <n v="27"/>
    <s v="شيك هومز "/>
    <x v="1"/>
    <m/>
    <x v="4"/>
    <x v="1"/>
    <x v="1"/>
    <x v="0"/>
    <s v="كينج"/>
    <n v="100"/>
    <s v="دورين"/>
    <x v="1"/>
    <m/>
    <n v="9208"/>
    <x v="8"/>
    <d v="2024-09-19T00:00:00"/>
    <d v="2024-09-21T00:00:00"/>
    <n v="20"/>
    <n v="2"/>
    <x v="3"/>
    <s v="تم التسليم محمود على "/>
    <x v="0"/>
  </r>
  <r>
    <n v="28"/>
    <s v="اوسكار راتن"/>
    <x v="1"/>
    <s v="مخزن اوسكار في القناطر "/>
    <x v="5"/>
    <x v="4"/>
    <x v="2"/>
    <x v="0"/>
    <s v="فورجينا"/>
    <n v="120"/>
    <s v="فردى"/>
    <x v="0"/>
    <m/>
    <n v="4020"/>
    <x v="14"/>
    <d v="2024-09-21T00:00:00"/>
    <d v="2024-09-22T00:00:00"/>
    <n v="10"/>
    <n v="1"/>
    <x v="3"/>
    <s v="تم التسليم محمود على "/>
    <x v="0"/>
  </r>
  <r>
    <n v="29"/>
    <s v="اوسكار راتن"/>
    <x v="1"/>
    <s v="مخزن اوسكار في القناطر "/>
    <x v="5"/>
    <x v="4"/>
    <x v="2"/>
    <x v="0"/>
    <s v="فورجينا"/>
    <n v="120"/>
    <s v="فردى"/>
    <x v="0"/>
    <m/>
    <n v="4020"/>
    <x v="14"/>
    <d v="2024-09-21T00:00:00"/>
    <d v="2024-09-22T00:00:00"/>
    <n v="10"/>
    <n v="1"/>
    <x v="3"/>
    <s v="تم التسليم محمود على "/>
    <x v="0"/>
  </r>
  <r>
    <n v="30"/>
    <s v="اوسكار راتن"/>
    <x v="1"/>
    <s v="مخزن اوسكار في القناطر "/>
    <x v="5"/>
    <x v="4"/>
    <x v="3"/>
    <x v="0"/>
    <s v="ارفيل"/>
    <n v="120"/>
    <s v="فردى"/>
    <x v="1"/>
    <m/>
    <n v="4020"/>
    <x v="14"/>
    <d v="2024-09-21T00:00:00"/>
    <d v="2024-09-22T00:00:00"/>
    <n v="10"/>
    <n v="1"/>
    <x v="3"/>
    <s v="تم التسليم محمود على "/>
    <x v="0"/>
  </r>
  <r>
    <n v="31"/>
    <s v="اوسكار راتن"/>
    <x v="1"/>
    <s v="مخزن اوسكار في القناطر "/>
    <x v="5"/>
    <x v="4"/>
    <x v="3"/>
    <x v="0"/>
    <s v="ارفيل"/>
    <n v="120"/>
    <s v="فردى"/>
    <x v="1"/>
    <m/>
    <n v="4020"/>
    <x v="14"/>
    <d v="2024-09-21T00:00:00"/>
    <d v="2024-09-22T00:00:00"/>
    <n v="10"/>
    <n v="1"/>
    <x v="3"/>
    <s v="تم التسليم محمود على "/>
    <x v="0"/>
  </r>
  <r>
    <n v="32"/>
    <s v="صفاء الحكيم"/>
    <x v="0"/>
    <s v="العين السخنه"/>
    <x v="6"/>
    <x v="0"/>
    <x v="3"/>
    <x v="0"/>
    <m/>
    <m/>
    <s v="منطبق"/>
    <x v="1"/>
    <s v="اسود"/>
    <n v="9399"/>
    <x v="15"/>
    <d v="2024-09-22T00:00:00"/>
    <s v="فشل التسليم"/>
    <s v=""/>
    <s v=""/>
    <x v="1"/>
    <s v="فشل التسليم "/>
    <x v="1"/>
  </r>
  <r>
    <n v="33"/>
    <s v="يوسف شناوى"/>
    <x v="0"/>
    <s v="الابراهيميه . الإسكندرية "/>
    <x v="1"/>
    <x v="0"/>
    <x v="3"/>
    <x v="1"/>
    <m/>
    <m/>
    <s v="رف سحاب"/>
    <x v="3"/>
    <m/>
    <n v="8349"/>
    <x v="15"/>
    <d v="2024-09-22T00:00:00"/>
    <d v="2024-09-24T00:00:00"/>
    <n v="10"/>
    <n v="2"/>
    <x v="3"/>
    <s v="تم التسليم عن طريق شركه شحن "/>
    <x v="0"/>
  </r>
  <r>
    <n v="34"/>
    <s v="حاتم العيسوي "/>
    <x v="0"/>
    <s v="٦ اكتوبر الجيزه "/>
    <x v="0"/>
    <x v="0"/>
    <x v="0"/>
    <x v="0"/>
    <m/>
    <m/>
    <s v="منطبق"/>
    <x v="1"/>
    <s v="اسود"/>
    <n v="9399"/>
    <x v="16"/>
    <d v="2024-09-24T00:00:00"/>
    <d v="2024-09-30T00:00:00"/>
    <n v="17"/>
    <n v="6"/>
    <x v="3"/>
    <s v="تم التسليم عن طريق شركه شحن "/>
    <x v="0"/>
  </r>
  <r>
    <n v="35"/>
    <s v="رنا "/>
    <x v="0"/>
    <s v="القطاميه "/>
    <x v="4"/>
    <x v="0"/>
    <x v="1"/>
    <x v="1"/>
    <m/>
    <m/>
    <s v="2 ميكانزم"/>
    <x v="3"/>
    <m/>
    <n v="7849"/>
    <x v="14"/>
    <d v="2024-09-26T00:00:00"/>
    <d v="2024-09-26T00:00:00"/>
    <n v="14"/>
    <n v="0"/>
    <x v="0"/>
    <s v="تم التسليم عن طريق شركه شحن "/>
    <x v="0"/>
  </r>
  <r>
    <n v="36"/>
    <s v="عبير نور الدين"/>
    <x v="0"/>
    <s v="١٨ شارع البحيري بولاق الدكرور الجيزه "/>
    <x v="0"/>
    <x v="2"/>
    <x v="1"/>
    <x v="0"/>
    <s v="كيفنج"/>
    <n v="100"/>
    <s v="ثلاثه ادوار"/>
    <x v="1"/>
    <m/>
    <n v="9450"/>
    <x v="14"/>
    <d v="2024-09-26T00:00:00"/>
    <s v="فشل التسليم"/>
    <s v=""/>
    <s v=""/>
    <x v="1"/>
    <s v="فشل التسليم "/>
    <x v="1"/>
  </r>
  <r>
    <n v="37"/>
    <s v="اسراء ابو العنين "/>
    <x v="0"/>
    <s v="القاهره الجديده"/>
    <x v="4"/>
    <x v="0"/>
    <x v="0"/>
    <x v="0"/>
    <s v="اسبانى"/>
    <n v="120"/>
    <s v="فردى"/>
    <x v="1"/>
    <m/>
    <n v="7460"/>
    <x v="16"/>
    <d v="2024-09-26T00:00:00"/>
    <d v="2024-10-03T00:00:00"/>
    <n v="20"/>
    <n v="7"/>
    <x v="3"/>
    <s v="تم التسليم محمود على "/>
    <x v="0"/>
  </r>
  <r>
    <n v="38"/>
    <s v="وائل صادق"/>
    <x v="0"/>
    <s v="القاهره الجديده"/>
    <x v="4"/>
    <x v="0"/>
    <x v="0"/>
    <x v="0"/>
    <s v="كورين"/>
    <n v="140"/>
    <s v="فردى"/>
    <x v="5"/>
    <s v="رمادى"/>
    <n v="9528"/>
    <x v="16"/>
    <d v="2024-09-26T00:00:00"/>
    <d v="2024-10-03T00:00:00"/>
    <n v="20"/>
    <n v="7"/>
    <x v="3"/>
    <s v="تم التسليم محمود على "/>
    <x v="0"/>
  </r>
  <r>
    <n v="39"/>
    <s v="حسن مغرب "/>
    <x v="0"/>
    <s v="٦ اكتوبر الجيزه "/>
    <x v="0"/>
    <x v="0"/>
    <x v="0"/>
    <x v="0"/>
    <s v="كيفنج"/>
    <n v="120"/>
    <s v="دورين"/>
    <x v="4"/>
    <m/>
    <n v="12999"/>
    <x v="15"/>
    <d v="2024-09-27T00:00:00"/>
    <d v="2024-10-02T00:00:00"/>
    <n v="18"/>
    <n v="5"/>
    <x v="3"/>
    <s v="تم التسليم محمود على "/>
    <x v="0"/>
  </r>
  <r>
    <n v="40"/>
    <s v="على السيد "/>
    <x v="0"/>
    <s v="الشروق القاهره "/>
    <x v="4"/>
    <x v="0"/>
    <x v="0"/>
    <x v="0"/>
    <s v="نوفال"/>
    <n v="90"/>
    <s v="دورين"/>
    <x v="1"/>
    <m/>
    <n v="5999"/>
    <x v="14"/>
    <d v="2024-09-29T00:00:00"/>
    <s v="فشل التسليم"/>
    <s v=""/>
    <s v=""/>
    <x v="1"/>
    <s v="فشل التسليم "/>
    <x v="1"/>
  </r>
  <r>
    <n v="41"/>
    <s v="هشام بسيونى "/>
    <x v="0"/>
    <s v="حدايق الاهرام "/>
    <x v="0"/>
    <x v="0"/>
    <x v="1"/>
    <x v="0"/>
    <s v="كيفنج"/>
    <n v="100"/>
    <s v="دورين"/>
    <x v="1"/>
    <m/>
    <n v="11949"/>
    <x v="14"/>
    <d v="2024-09-29T00:00:00"/>
    <d v="2024-10-02T00:00:00"/>
    <n v="20"/>
    <n v="3"/>
    <x v="3"/>
    <s v="تم التسليم محمود على "/>
    <x v="0"/>
  </r>
  <r>
    <n v="42"/>
    <s v="هشام بسيونى "/>
    <x v="0"/>
    <s v="حدايق الاهرام "/>
    <x v="0"/>
    <x v="0"/>
    <x v="1"/>
    <x v="0"/>
    <s v="كيفنج"/>
    <n v="100"/>
    <s v="دورين"/>
    <x v="1"/>
    <m/>
    <n v="11949"/>
    <x v="14"/>
    <d v="2024-09-29T00:00:00"/>
    <d v="2024-10-02T00:00:00"/>
    <n v="20"/>
    <n v="3"/>
    <x v="3"/>
    <s v="تم التسليم محمود على "/>
    <x v="0"/>
  </r>
  <r>
    <n v="43"/>
    <s v="احمد "/>
    <x v="0"/>
    <s v="الشروق"/>
    <x v="4"/>
    <x v="0"/>
    <x v="0"/>
    <x v="0"/>
    <s v="كيفنج"/>
    <n v="80"/>
    <s v="ثلاثه ادوار"/>
    <x v="0"/>
    <m/>
    <n v="16599"/>
    <x v="16"/>
    <d v="2024-09-30T00:00:00"/>
    <d v="2024-10-03T00:00:00"/>
    <n v="20"/>
    <n v="3"/>
    <x v="3"/>
    <s v="تم التسليم محمود على "/>
    <x v="0"/>
  </r>
  <r>
    <n v="44"/>
    <s v="ساره وجيه "/>
    <x v="0"/>
    <s v="الغردقه "/>
    <x v="3"/>
    <x v="0"/>
    <x v="0"/>
    <x v="0"/>
    <s v="كيفنج"/>
    <n v="80"/>
    <s v="دورين"/>
    <x v="0"/>
    <m/>
    <n v="10999"/>
    <x v="16"/>
    <d v="2024-09-30T00:00:00"/>
    <d v="2024-10-16T00:00:00"/>
    <n v="33"/>
    <n v="16"/>
    <x v="3"/>
    <s v="تم التسليم عن طريق شركه شحن "/>
    <x v="0"/>
  </r>
  <r>
    <n v="45"/>
    <s v="مها "/>
    <x v="0"/>
    <s v="لافيستا العين السخنه "/>
    <x v="6"/>
    <x v="0"/>
    <x v="0"/>
    <x v="0"/>
    <s v="كيفنج"/>
    <n v="140"/>
    <s v="دورين"/>
    <x v="2"/>
    <m/>
    <n v="13099"/>
    <x v="16"/>
    <d v="2024-09-30T00:00:00"/>
    <d v="2024-10-03T00:00:00"/>
    <n v="20"/>
    <n v="3"/>
    <x v="3"/>
    <s v="تم التسليم عن طريق شركه شحن "/>
    <x v="0"/>
  </r>
  <r>
    <n v="46"/>
    <s v="بسام الشربينى "/>
    <x v="0"/>
    <s v="٦ اكتوبر الجيزه "/>
    <x v="0"/>
    <x v="0"/>
    <x v="0"/>
    <x v="0"/>
    <s v="كينج"/>
    <n v="120"/>
    <s v="دورين"/>
    <x v="6"/>
    <m/>
    <n v="13849"/>
    <x v="16"/>
    <d v="2024-09-30T00:00:00"/>
    <d v="2024-10-20T00:00:00"/>
    <n v="37"/>
    <n v="20"/>
    <x v="3"/>
    <s v="تم التسليم محمود على "/>
    <x v="0"/>
  </r>
  <r>
    <n v="47"/>
    <s v="هبه عبد الفتاح "/>
    <x v="0"/>
    <s v="القاهره الجديده "/>
    <x v="4"/>
    <x v="0"/>
    <x v="0"/>
    <x v="0"/>
    <m/>
    <m/>
    <s v="4*1"/>
    <x v="1"/>
    <s v="رمادى"/>
    <n v="21999"/>
    <x v="16"/>
    <d v="2024-09-30T00:00:00"/>
    <d v="2024-09-30T00:00:00"/>
    <n v="17"/>
    <n v="0"/>
    <x v="0"/>
    <s v="تم التسليم محمود على "/>
    <x v="0"/>
  </r>
  <r>
    <n v="48"/>
    <s v="اسراء ابراهيم "/>
    <x v="0"/>
    <s v="٦ اكتوبر الجيزه "/>
    <x v="0"/>
    <x v="0"/>
    <x v="0"/>
    <x v="0"/>
    <s v="كيفنج"/>
    <n v="80"/>
    <s v="دورين"/>
    <x v="0"/>
    <m/>
    <n v="10999"/>
    <x v="16"/>
    <d v="2024-09-30T00:00:00"/>
    <d v="2024-10-15T00:00:00"/>
    <n v="32"/>
    <n v="15"/>
    <x v="3"/>
    <s v="تم التسليم محمود على "/>
    <x v="0"/>
  </r>
  <r>
    <n v="49"/>
    <s v="طارق كمال "/>
    <x v="0"/>
    <s v="المعادى"/>
    <x v="4"/>
    <x v="0"/>
    <x v="0"/>
    <x v="0"/>
    <s v="كيفنج"/>
    <n v="90"/>
    <s v="ثلاثه ادوار"/>
    <x v="1"/>
    <m/>
    <n v="17249"/>
    <x v="16"/>
    <d v="2024-09-30T00:00:00"/>
    <d v="2024-10-04T00:00:00"/>
    <n v="21"/>
    <n v="4"/>
    <x v="3"/>
    <s v="تم التسليم محمود على "/>
    <x v="0"/>
  </r>
  <r>
    <n v="50"/>
    <s v="ديفد بهجت "/>
    <x v="0"/>
    <s v="فيصل الجيزه"/>
    <x v="0"/>
    <x v="0"/>
    <x v="0"/>
    <x v="1"/>
    <m/>
    <m/>
    <s v="2 ميكانزم"/>
    <x v="3"/>
    <m/>
    <n v="8349"/>
    <x v="15"/>
    <d v="2024-10-16T00:00:00"/>
    <d v="2024-10-21T00:00:00"/>
    <n v="37"/>
    <n v="5"/>
    <x v="3"/>
    <s v="تم التسليم محمود على "/>
    <x v="0"/>
  </r>
  <r>
    <n v="51"/>
    <s v="اياد "/>
    <x v="0"/>
    <s v="المقطم "/>
    <x v="4"/>
    <x v="0"/>
    <x v="0"/>
    <x v="1"/>
    <m/>
    <m/>
    <s v="بمكتبة"/>
    <x v="3"/>
    <m/>
    <n v="7849"/>
    <x v="15"/>
    <d v="2024-10-29T00:00:00"/>
    <d v="2024-10-30T00:00:00"/>
    <n v="46"/>
    <n v="1"/>
    <x v="3"/>
    <s v="تم التسليم محمود على "/>
    <x v="0"/>
  </r>
  <r>
    <n v="52"/>
    <s v="ميار خورشد"/>
    <x v="0"/>
    <s v="٦ اكتوبر الجيزه "/>
    <x v="0"/>
    <x v="0"/>
    <x v="3"/>
    <x v="0"/>
    <m/>
    <m/>
    <s v="منطبق"/>
    <x v="1"/>
    <s v="اسود"/>
    <n v="9399"/>
    <x v="15"/>
    <d v="2024-10-29T00:00:00"/>
    <d v="2024-10-15T00:00:00"/>
    <n v="31"/>
    <n v="-14"/>
    <x v="2"/>
    <s v="تم التسليم محمود على "/>
    <x v="0"/>
  </r>
  <r>
    <n v="53"/>
    <s v="عبد الله سيد "/>
    <x v="0"/>
    <s v="الشيخ زايد ٦ اكتوبر "/>
    <x v="0"/>
    <x v="0"/>
    <x v="3"/>
    <x v="0"/>
    <s v="اسبانى"/>
    <n v="140"/>
    <s v="فردى"/>
    <x v="1"/>
    <m/>
    <n v="11817"/>
    <x v="15"/>
    <d v="2024-10-29T00:00:00"/>
    <d v="2024-10-15T00:00:00"/>
    <n v="31"/>
    <n v="-14"/>
    <x v="2"/>
    <s v="تم التسليم محمود على "/>
    <x v="0"/>
  </r>
  <r>
    <n v="54"/>
    <s v="كينج سونا "/>
    <x v="0"/>
    <s v="الشروق"/>
    <x v="4"/>
    <x v="0"/>
    <x v="3"/>
    <x v="1"/>
    <m/>
    <m/>
    <s v="رف سحاب"/>
    <x v="3"/>
    <m/>
    <n v="8349"/>
    <x v="15"/>
    <d v="2024-10-29T00:00:00"/>
    <d v="2024-10-19T00:00:00"/>
    <n v="35"/>
    <n v="-10"/>
    <x v="2"/>
    <s v="تم التسليم محمود على "/>
    <x v="0"/>
  </r>
  <r>
    <n v="55"/>
    <s v="احمد خالد "/>
    <x v="0"/>
    <s v="الرحاب"/>
    <x v="4"/>
    <x v="0"/>
    <x v="3"/>
    <x v="0"/>
    <s v="فورجينا"/>
    <n v="120"/>
    <s v="فردى"/>
    <x v="0"/>
    <m/>
    <n v="17886"/>
    <x v="15"/>
    <d v="2024-10-29T00:00:00"/>
    <s v="فشل التسليم"/>
    <s v=""/>
    <s v=""/>
    <x v="1"/>
    <s v="فشل التسليم "/>
    <x v="1"/>
  </r>
  <r>
    <n v="56"/>
    <s v="احمد خالد "/>
    <x v="0"/>
    <s v="الرحاب"/>
    <x v="4"/>
    <x v="0"/>
    <x v="3"/>
    <x v="0"/>
    <s v="فورجينا"/>
    <n v="120"/>
    <s v="فردى"/>
    <x v="0"/>
    <m/>
    <n v="17886"/>
    <x v="15"/>
    <d v="2024-10-29T00:00:00"/>
    <s v="فشل التسليم"/>
    <s v=""/>
    <s v=""/>
    <x v="1"/>
    <s v="فشل التسليم "/>
    <x v="1"/>
  </r>
  <r>
    <n v="57"/>
    <s v="ساره"/>
    <x v="0"/>
    <s v="القاهره الجديده"/>
    <x v="4"/>
    <x v="0"/>
    <x v="0"/>
    <x v="0"/>
    <s v="اسبانى"/>
    <n v="120"/>
    <s v="فردى"/>
    <x v="0"/>
    <m/>
    <n v="10987"/>
    <x v="15"/>
    <d v="2024-10-29T00:00:00"/>
    <d v="2024-10-13T00:00:00"/>
    <n v="29"/>
    <n v="-16"/>
    <x v="2"/>
    <s v="تم التسليم محمود على "/>
    <x v="0"/>
  </r>
  <r>
    <n v="58"/>
    <s v="ساره"/>
    <x v="0"/>
    <s v="القاهره الجديده"/>
    <x v="4"/>
    <x v="0"/>
    <x v="0"/>
    <x v="0"/>
    <s v="اسبانى"/>
    <n v="120"/>
    <s v="فردى"/>
    <x v="0"/>
    <m/>
    <n v="10987"/>
    <x v="15"/>
    <d v="2024-10-29T00:00:00"/>
    <d v="2024-10-13T00:00:00"/>
    <n v="29"/>
    <n v="-16"/>
    <x v="2"/>
    <s v="تم التسليم محمود على "/>
    <x v="0"/>
  </r>
  <r>
    <n v="59"/>
    <s v="احمد ايمن "/>
    <x v="0"/>
    <s v="العبور"/>
    <x v="5"/>
    <x v="0"/>
    <x v="0"/>
    <x v="1"/>
    <m/>
    <m/>
    <s v="2 ميكانزم"/>
    <x v="3"/>
    <m/>
    <n v="10319"/>
    <x v="15"/>
    <d v="2024-10-29T00:00:00"/>
    <d v="2024-10-19T00:00:00"/>
    <n v="35"/>
    <n v="-10"/>
    <x v="2"/>
    <s v="تم التسليم محمود على "/>
    <x v="0"/>
  </r>
  <r>
    <n v="60"/>
    <s v="مصطفي غنيم "/>
    <x v="0"/>
    <s v="اسيوط "/>
    <x v="7"/>
    <x v="0"/>
    <x v="3"/>
    <x v="0"/>
    <s v="كيفنج"/>
    <n v="120"/>
    <s v="دورين"/>
    <x v="4"/>
    <m/>
    <n v="12999"/>
    <x v="15"/>
    <d v="2024-11-20T00:00:00"/>
    <d v="2024-10-17T00:00:00"/>
    <n v="33"/>
    <n v="-34"/>
    <x v="2"/>
    <s v="تم التسليم عن طريق شركه شحن "/>
    <x v="0"/>
  </r>
  <r>
    <n v="61"/>
    <s v="حسام عبدون"/>
    <x v="0"/>
    <s v="الغردقه"/>
    <x v="3"/>
    <x v="0"/>
    <x v="0"/>
    <x v="0"/>
    <m/>
    <m/>
    <s v="4*1"/>
    <x v="1"/>
    <s v="رمادى"/>
    <n v="21999"/>
    <x v="15"/>
    <d v="2024-11-20T00:00:00"/>
    <s v="فشل التسليم"/>
    <s v=""/>
    <s v=""/>
    <x v="1"/>
    <s v="فشل التسليم "/>
    <x v="1"/>
  </r>
  <r>
    <n v="62"/>
    <s v="رامى "/>
    <x v="0"/>
    <s v="الشروق"/>
    <x v="4"/>
    <x v="0"/>
    <x v="0"/>
    <x v="0"/>
    <s v="نوفال"/>
    <n v="100"/>
    <s v="دورين"/>
    <x v="4"/>
    <m/>
    <n v="12399"/>
    <x v="15"/>
    <d v="2024-11-20T00:00:00"/>
    <d v="2024-10-01T00:00:00"/>
    <n v="17"/>
    <n v="-50"/>
    <x v="2"/>
    <s v="تم التسليم عن طريق شركه شحن "/>
    <x v="0"/>
  </r>
  <r>
    <n v="63"/>
    <s v="رحاب"/>
    <x v="0"/>
    <s v="القاهره الجديده"/>
    <x v="4"/>
    <x v="0"/>
    <x v="0"/>
    <x v="0"/>
    <m/>
    <m/>
    <s v="4*1"/>
    <x v="1"/>
    <s v="رمادى"/>
    <n v="21999"/>
    <x v="15"/>
    <d v="2024-11-20T00:00:00"/>
    <d v="2024-10-09T00:00:00"/>
    <n v="25"/>
    <n v="-42"/>
    <x v="2"/>
    <s v="تم التسليم محمود على "/>
    <x v="0"/>
  </r>
  <r>
    <n v="64"/>
    <s v="فؤاد المنسي "/>
    <x v="0"/>
    <s v="المقطم "/>
    <x v="4"/>
    <x v="0"/>
    <x v="3"/>
    <x v="0"/>
    <s v="نوفال"/>
    <n v="80"/>
    <s v="دورين"/>
    <x v="0"/>
    <m/>
    <n v="10999"/>
    <x v="15"/>
    <d v="2024-11-20T00:00:00"/>
    <d v="2024-10-16T00:00:00"/>
    <n v="32"/>
    <n v="-35"/>
    <x v="2"/>
    <s v="تم التسليم محمود على "/>
    <x v="0"/>
  </r>
  <r>
    <n v="65"/>
    <s v="مهند"/>
    <x v="0"/>
    <s v="EL-Maadi"/>
    <x v="4"/>
    <x v="0"/>
    <x v="3"/>
    <x v="0"/>
    <s v="كيفنج"/>
    <n v="80"/>
    <s v="دورين"/>
    <x v="0"/>
    <m/>
    <n v="10999"/>
    <x v="17"/>
    <d v="2024-11-20T00:00:00"/>
    <d v="2024-10-16T00:00:00"/>
    <n v="31"/>
    <n v="-35"/>
    <x v="2"/>
    <s v="تم التسليم محمود على "/>
    <x v="0"/>
  </r>
  <r>
    <n v="66"/>
    <s v="مهند"/>
    <x v="0"/>
    <s v="EL-Maadi"/>
    <x v="4"/>
    <x v="0"/>
    <x v="3"/>
    <x v="0"/>
    <s v="كيفنج"/>
    <n v="80"/>
    <s v="دورين"/>
    <x v="0"/>
    <m/>
    <n v="10999"/>
    <x v="17"/>
    <d v="2024-11-20T00:00:00"/>
    <d v="2024-10-16T00:00:00"/>
    <n v="31"/>
    <n v="-35"/>
    <x v="2"/>
    <s v="تم التسليم محمود على "/>
    <x v="0"/>
  </r>
  <r>
    <n v="67"/>
    <s v="محمد ايمن"/>
    <x v="0"/>
    <s v="Madinet Badr"/>
    <x v="4"/>
    <x v="0"/>
    <x v="3"/>
    <x v="2"/>
    <m/>
    <m/>
    <s v="4*1"/>
    <x v="1"/>
    <s v="رمادى"/>
    <n v="21999"/>
    <x v="17"/>
    <d v="2024-11-20T00:00:00"/>
    <d v="2024-10-19T00:00:00"/>
    <n v="34"/>
    <n v="-32"/>
    <x v="2"/>
    <s v="تم التسليم محمود على "/>
    <x v="0"/>
  </r>
  <r>
    <n v="68"/>
    <s v="اسامه"/>
    <x v="0"/>
    <s v="العين السخنه"/>
    <x v="6"/>
    <x v="0"/>
    <x v="1"/>
    <x v="1"/>
    <m/>
    <m/>
    <s v="2 ميكانزم"/>
    <x v="3"/>
    <m/>
    <n v="7849"/>
    <x v="18"/>
    <d v="2024-10-30T00:00:00"/>
    <d v="2024-11-14T00:00:00"/>
    <n v="59"/>
    <n v="15"/>
    <x v="3"/>
    <s v="تم التسليم عن طريق شركه شحن "/>
    <x v="0"/>
  </r>
  <r>
    <n v="69"/>
    <s v="اوسكار راتن"/>
    <x v="1"/>
    <s v="المخزن ابو الغيط "/>
    <x v="5"/>
    <x v="4"/>
    <x v="2"/>
    <x v="0"/>
    <s v="كيفنج"/>
    <n v="80"/>
    <s v="دورين"/>
    <x v="0"/>
    <m/>
    <n v="5074"/>
    <x v="19"/>
    <d v="2024-10-05T00:00:00"/>
    <d v="2024-10-12T00:00:00"/>
    <n v="21"/>
    <n v="7"/>
    <x v="3"/>
    <s v="تم التسليم محمود على "/>
    <x v="0"/>
  </r>
  <r>
    <n v="70"/>
    <s v="تاكى "/>
    <x v="1"/>
    <s v="العباسيه"/>
    <x v="4"/>
    <x v="3"/>
    <x v="2"/>
    <x v="0"/>
    <s v="كينج"/>
    <n v="100"/>
    <s v="دورين"/>
    <x v="7"/>
    <m/>
    <n v="6250"/>
    <x v="20"/>
    <d v="2024-10-08T00:00:00"/>
    <d v="2024-10-17T00:00:00"/>
    <n v="24"/>
    <n v="9"/>
    <x v="3"/>
    <s v="تم التسليم محمود على "/>
    <x v="0"/>
  </r>
  <r>
    <n v="71"/>
    <s v="تاكى "/>
    <x v="1"/>
    <s v="العباسيه"/>
    <x v="4"/>
    <x v="3"/>
    <x v="2"/>
    <x v="0"/>
    <s v="كينج"/>
    <n v="100"/>
    <s v="دورين"/>
    <x v="7"/>
    <m/>
    <n v="6250"/>
    <x v="20"/>
    <d v="2024-10-08T00:00:00"/>
    <d v="2024-10-17T00:00:00"/>
    <n v="24"/>
    <n v="9"/>
    <x v="3"/>
    <s v="تم التسليم محمود على "/>
    <x v="0"/>
  </r>
  <r>
    <n v="72"/>
    <s v="ولاء بدوى"/>
    <x v="0"/>
    <s v="العباسيه"/>
    <x v="4"/>
    <x v="0"/>
    <x v="1"/>
    <x v="0"/>
    <s v="فورجينا"/>
    <n v="120"/>
    <s v="فردى"/>
    <x v="0"/>
    <m/>
    <n v="8943"/>
    <x v="21"/>
    <d v="2024-11-10T00:00:00"/>
    <d v="2024-10-10T00:00:00"/>
    <n v="14"/>
    <n v="-31"/>
    <x v="2"/>
    <s v="تم التسليم محمود على "/>
    <x v="0"/>
  </r>
  <r>
    <n v="73"/>
    <s v="عبد الرحمن يسري"/>
    <x v="0"/>
    <s v="اكتوبر الجيزه"/>
    <x v="0"/>
    <x v="0"/>
    <x v="1"/>
    <x v="1"/>
    <m/>
    <m/>
    <s v="رف سحاب"/>
    <x v="3"/>
    <m/>
    <n v="8349"/>
    <x v="21"/>
    <d v="2024-11-10T00:00:00"/>
    <s v="فشل التسليم"/>
    <s v=""/>
    <s v=""/>
    <x v="1"/>
    <s v="فشل التسليم "/>
    <x v="1"/>
  </r>
  <r>
    <n v="74"/>
    <s v="شيك هومز "/>
    <x v="1"/>
    <s v="التجمع"/>
    <x v="4"/>
    <x v="1"/>
    <x v="0"/>
    <x v="2"/>
    <m/>
    <m/>
    <s v="4×1"/>
    <x v="3"/>
    <s v="نبيتى "/>
    <n v="14950"/>
    <x v="21"/>
    <d v="2024-10-14T00:00:00"/>
    <d v="2024-10-13T00:00:00"/>
    <n v="17"/>
    <n v="-1"/>
    <x v="2"/>
    <s v="تم التسليم محمود على "/>
    <x v="0"/>
  </r>
  <r>
    <n v="75"/>
    <s v="شيك هومز "/>
    <x v="1"/>
    <m/>
    <x v="4"/>
    <x v="1"/>
    <x v="1"/>
    <x v="0"/>
    <s v="كينج"/>
    <n v="100"/>
    <s v="دورين"/>
    <x v="1"/>
    <m/>
    <n v="9208"/>
    <x v="21"/>
    <d v="2024-10-14T00:00:00"/>
    <s v="فشل التسليم"/>
    <s v=""/>
    <s v=""/>
    <x v="1"/>
    <s v="فشل التسليم "/>
    <x v="1"/>
  </r>
  <r>
    <n v="76"/>
    <s v="شيك هومز "/>
    <x v="1"/>
    <m/>
    <x v="4"/>
    <x v="1"/>
    <x v="0"/>
    <x v="0"/>
    <s v="اسبانى"/>
    <n v="120"/>
    <s v="فردى"/>
    <x v="0"/>
    <m/>
    <n v="7433"/>
    <x v="22"/>
    <d v="2024-10-20T00:00:00"/>
    <d v="2024-10-21T00:00:00"/>
    <n v="22"/>
    <n v="1"/>
    <x v="3"/>
    <s v="تم التسليم محمود على "/>
    <x v="0"/>
  </r>
  <r>
    <n v="77"/>
    <s v="اوسكار راتن"/>
    <x v="1"/>
    <s v="المخزن ابو الغيط "/>
    <x v="5"/>
    <x v="4"/>
    <x v="2"/>
    <x v="0"/>
    <s v="فورجينا"/>
    <n v="120"/>
    <s v="فردى"/>
    <x v="0"/>
    <m/>
    <n v="4020"/>
    <x v="22"/>
    <d v="2024-10-12T00:00:00"/>
    <d v="2024-10-12T00:00:00"/>
    <n v="13"/>
    <n v="0"/>
    <x v="0"/>
    <s v="تم التسليم محمود على "/>
    <x v="0"/>
  </r>
  <r>
    <n v="78"/>
    <s v="الحج محمد السويس"/>
    <x v="0"/>
    <s v="السويس "/>
    <x v="6"/>
    <x v="5"/>
    <x v="1"/>
    <x v="0"/>
    <s v="فانتاستك"/>
    <n v="100"/>
    <s v="دورين"/>
    <x v="8"/>
    <m/>
    <n v="8544.9054400000005"/>
    <x v="23"/>
    <d v="2024-10-09T00:00:00"/>
    <d v="2024-10-09T00:00:00"/>
    <n v="8"/>
    <n v="0"/>
    <x v="0"/>
    <s v="تم التسليم بمعرفه الحج سيد "/>
    <x v="0"/>
  </r>
  <r>
    <n v="79"/>
    <s v="الحج محمد السويس"/>
    <x v="0"/>
    <s v="السويس "/>
    <x v="6"/>
    <x v="5"/>
    <x v="1"/>
    <x v="0"/>
    <m/>
    <m/>
    <s v="منطبق"/>
    <x v="1"/>
    <s v="بيج"/>
    <n v="4600"/>
    <x v="23"/>
    <d v="2024-10-09T00:00:00"/>
    <d v="2024-10-09T00:00:00"/>
    <n v="8"/>
    <n v="0"/>
    <x v="0"/>
    <s v="تم التسليم بمعرفه الحج سيد "/>
    <x v="0"/>
  </r>
  <r>
    <n v="80"/>
    <s v="الحج محمد السويس"/>
    <x v="0"/>
    <s v="السويس "/>
    <x v="6"/>
    <x v="5"/>
    <x v="1"/>
    <x v="2"/>
    <m/>
    <m/>
    <s v="فنيسيا"/>
    <x v="1"/>
    <s v="رصاصي مشجر"/>
    <n v="10000"/>
    <x v="23"/>
    <d v="2024-10-09T00:00:00"/>
    <d v="2024-10-09T00:00:00"/>
    <n v="8"/>
    <n v="0"/>
    <x v="0"/>
    <s v="تم التسليم بمعرفه الحج سيد "/>
    <x v="0"/>
  </r>
  <r>
    <n v="81"/>
    <s v="الحج محمد السويس"/>
    <x v="0"/>
    <s v="السويس "/>
    <x v="6"/>
    <x v="5"/>
    <x v="1"/>
    <x v="5"/>
    <m/>
    <m/>
    <m/>
    <x v="1"/>
    <s v="نبيتى "/>
    <m/>
    <x v="23"/>
    <d v="2024-10-09T00:00:00"/>
    <d v="2024-10-09T00:00:00"/>
    <n v="8"/>
    <n v="0"/>
    <x v="0"/>
    <s v="تم التسليم بمعرفه الحج سيد "/>
    <x v="0"/>
  </r>
  <r>
    <n v="82"/>
    <s v="عمرو الأسود"/>
    <x v="0"/>
    <s v="الزمالك"/>
    <x v="4"/>
    <x v="0"/>
    <x v="0"/>
    <x v="0"/>
    <m/>
    <m/>
    <s v="منطبق"/>
    <x v="1"/>
    <s v="اسود"/>
    <n v="8899"/>
    <x v="24"/>
    <d v="2024-11-17T00:00:00"/>
    <s v="فشل التسليم"/>
    <s v=""/>
    <s v=""/>
    <x v="1"/>
    <s v="فشل التسليم "/>
    <x v="1"/>
  </r>
  <r>
    <n v="83"/>
    <s v="شيك هومز "/>
    <x v="1"/>
    <s v="مخزن شيك هومز"/>
    <x v="0"/>
    <x v="1"/>
    <x v="0"/>
    <x v="2"/>
    <m/>
    <m/>
    <s v="4×1"/>
    <x v="1"/>
    <s v="بترولى "/>
    <n v="14550"/>
    <x v="25"/>
    <d v="2024-10-29T00:00:00"/>
    <d v="2024-10-30T00:00:00"/>
    <n v="22"/>
    <n v="1"/>
    <x v="3"/>
    <s v="تم التسليم محمود على "/>
    <x v="0"/>
  </r>
  <r>
    <n v="84"/>
    <s v="شيك هومز "/>
    <x v="1"/>
    <s v="أكتوبر "/>
    <x v="0"/>
    <x v="1"/>
    <x v="1"/>
    <x v="2"/>
    <m/>
    <m/>
    <s v="4×1"/>
    <x v="1"/>
    <s v="بترولى "/>
    <n v="14550"/>
    <x v="26"/>
    <d v="2024-10-29T00:00:00"/>
    <d v="2024-10-15T00:00:00"/>
    <n v="8"/>
    <n v="-14"/>
    <x v="2"/>
    <s v="تم التسليم محمود على "/>
    <x v="0"/>
  </r>
  <r>
    <n v="85"/>
    <s v="شيك هومز "/>
    <x v="1"/>
    <m/>
    <x v="4"/>
    <x v="1"/>
    <x v="1"/>
    <x v="2"/>
    <m/>
    <m/>
    <s v="4×1"/>
    <x v="1"/>
    <s v="نبيتى "/>
    <n v="14550"/>
    <x v="27"/>
    <d v="2024-10-31T00:00:00"/>
    <d v="2024-11-02T00:00:00"/>
    <n v="23"/>
    <n v="2"/>
    <x v="3"/>
    <s v="تم التسليم محمود على "/>
    <x v="0"/>
  </r>
  <r>
    <n v="86"/>
    <s v="كيرا"/>
    <x v="0"/>
    <s v="القاهره الجديده "/>
    <x v="4"/>
    <x v="0"/>
    <x v="0"/>
    <x v="0"/>
    <s v="نوفال "/>
    <s v="١٤٠/١٠٠"/>
    <s v="دورين"/>
    <x v="9"/>
    <m/>
    <n v="12899"/>
    <x v="28"/>
    <d v="2024-12-17T00:00:00"/>
    <d v="2024-11-02T00:00:00"/>
    <n v="20"/>
    <n v="-45"/>
    <x v="2"/>
    <s v="تم التسليم محمود على "/>
    <x v="0"/>
  </r>
  <r>
    <n v="87"/>
    <s v="طارق "/>
    <x v="0"/>
    <s v="مصر الجديده"/>
    <x v="4"/>
    <x v="0"/>
    <x v="0"/>
    <x v="0"/>
    <s v="كيفنج"/>
    <n v="80"/>
    <s v="دورين"/>
    <x v="0"/>
    <m/>
    <n v="10499"/>
    <x v="29"/>
    <d v="2024-12-19T00:00:00"/>
    <d v="2024-10-21T00:00:00"/>
    <n v="5"/>
    <n v="-59"/>
    <x v="2"/>
    <s v="تم التسليم محمود على "/>
    <x v="0"/>
  </r>
  <r>
    <n v="88"/>
    <s v="ريم"/>
    <x v="0"/>
    <s v="البطاش اسكندريه"/>
    <x v="1"/>
    <x v="0"/>
    <x v="0"/>
    <x v="0"/>
    <s v="نوفال"/>
    <s v="١٠٠/١٤٠"/>
    <s v="دورين"/>
    <x v="9"/>
    <m/>
    <n v="12899"/>
    <x v="30"/>
    <d v="2024-12-22T00:00:00"/>
    <d v="2024-12-03T00:00:00"/>
    <n v="47"/>
    <n v="-19"/>
    <x v="2"/>
    <s v="تم التسليم عن طريق شركه شحن "/>
    <x v="0"/>
  </r>
  <r>
    <n v="89"/>
    <s v="هشام سامى"/>
    <x v="0"/>
    <s v="41 كومبوند جولدن جستس الدور 4 شقه 4"/>
    <x v="4"/>
    <x v="6"/>
    <x v="1"/>
    <x v="0"/>
    <s v="بلحه"/>
    <n v="140"/>
    <s v="فردى"/>
    <x v="10"/>
    <s v="خشب بنى فاتح"/>
    <n v="5135"/>
    <x v="31"/>
    <d v="2024-11-17T00:00:00"/>
    <d v="2024-11-14T00:00:00"/>
    <n v="25"/>
    <n v="-3"/>
    <x v="2"/>
    <s v="تم التسليم محمود على "/>
    <x v="0"/>
  </r>
  <r>
    <n v="90"/>
    <s v="شيك هومز "/>
    <x v="1"/>
    <s v="اكتوبر الجيزه"/>
    <x v="0"/>
    <x v="1"/>
    <x v="1"/>
    <x v="0"/>
    <s v="فانتستيك"/>
    <n v="100"/>
    <s v="دورين"/>
    <x v="11"/>
    <m/>
    <n v="12777.5"/>
    <x v="32"/>
    <d v="2024-11-12T00:00:00"/>
    <d v="2024-11-18T00:00:00"/>
    <n v="27"/>
    <n v="6"/>
    <x v="3"/>
    <s v="تم التسليم محمود على "/>
    <x v="0"/>
  </r>
  <r>
    <n v="91"/>
    <s v="شيك هومز "/>
    <x v="1"/>
    <s v="اكتوبر الجيزه"/>
    <x v="0"/>
    <x v="1"/>
    <x v="2"/>
    <x v="0"/>
    <s v="فانتستيك"/>
    <n v="100"/>
    <s v="دورين"/>
    <x v="11"/>
    <m/>
    <n v="12777.5"/>
    <x v="32"/>
    <d v="2024-11-12T00:00:00"/>
    <d v="2024-11-18T00:00:00"/>
    <n v="27"/>
    <n v="6"/>
    <x v="3"/>
    <s v="تم التسليم محمود على "/>
    <x v="0"/>
  </r>
  <r>
    <n v="92"/>
    <s v="اوسكار راتن"/>
    <x v="1"/>
    <s v="المعرض مدينه نصر"/>
    <x v="4"/>
    <x v="4"/>
    <x v="1"/>
    <x v="0"/>
    <s v="فانتستيك"/>
    <n v="100"/>
    <s v="دورين"/>
    <x v="11"/>
    <m/>
    <n v="8544.91"/>
    <x v="32"/>
    <s v="اقرب وقت "/>
    <s v="فشل التسليم"/>
    <s v=""/>
    <s v=""/>
    <x v="1"/>
    <s v="فشل التسليم "/>
    <x v="1"/>
  </r>
  <r>
    <n v="93"/>
    <s v="فاطمه محمد"/>
    <x v="0"/>
    <s v="أكتوبر الجيزه"/>
    <x v="0"/>
    <x v="0"/>
    <x v="0"/>
    <x v="0"/>
    <s v="فورجينا"/>
    <n v="120"/>
    <s v="فردى"/>
    <x v="0"/>
    <m/>
    <n v="8943"/>
    <x v="33"/>
    <d v="2024-11-14T00:00:00"/>
    <d v="2024-11-18T00:00:00"/>
    <n v="28"/>
    <n v="4"/>
    <x v="3"/>
    <s v="تم التسليم محمود على "/>
    <x v="0"/>
  </r>
  <r>
    <n v="94"/>
    <s v="شيك هومز "/>
    <x v="1"/>
    <m/>
    <x v="0"/>
    <x v="1"/>
    <x v="1"/>
    <x v="2"/>
    <m/>
    <m/>
    <s v="4×1"/>
    <x v="1"/>
    <m/>
    <n v="15516"/>
    <x v="34"/>
    <d v="2024-11-14T00:00:00"/>
    <d v="2024-10-30T00:00:00"/>
    <n v="6"/>
    <n v="-15"/>
    <x v="2"/>
    <s v="تم التسليم محمود على "/>
    <x v="0"/>
  </r>
  <r>
    <n v="95"/>
    <s v="شيك هومز "/>
    <x v="1"/>
    <m/>
    <x v="0"/>
    <x v="1"/>
    <x v="1"/>
    <x v="0"/>
    <s v="كينج"/>
    <n v="100"/>
    <s v="دورين"/>
    <x v="1"/>
    <m/>
    <n v="10045"/>
    <x v="35"/>
    <d v="2024-11-16T00:00:00"/>
    <s v="فشل التسليم"/>
    <s v=""/>
    <s v=""/>
    <x v="1"/>
    <s v="فشل التسليم "/>
    <x v="1"/>
  </r>
  <r>
    <n v="96"/>
    <s v="ساره"/>
    <x v="0"/>
    <s v="الشيخ زايد اكتوبر"/>
    <x v="0"/>
    <x v="0"/>
    <x v="1"/>
    <x v="0"/>
    <s v="كينج"/>
    <n v="90"/>
    <s v="دورين"/>
    <x v="1"/>
    <m/>
    <n v="11649"/>
    <x v="35"/>
    <d v="2024-11-10T00:00:00"/>
    <d v="2024-11-18T00:00:00"/>
    <n v="23"/>
    <n v="8"/>
    <x v="3"/>
    <s v="تم التسليم محمود على "/>
    <x v="0"/>
  </r>
  <r>
    <n v="97"/>
    <s v="ساره"/>
    <x v="0"/>
    <s v="الشيخ زايد اكتوبر"/>
    <x v="0"/>
    <x v="0"/>
    <x v="1"/>
    <x v="0"/>
    <s v="كينج"/>
    <n v="90"/>
    <s v="دورين"/>
    <x v="1"/>
    <m/>
    <n v="11649"/>
    <x v="35"/>
    <d v="2024-11-10T00:00:00"/>
    <d v="2024-11-18T00:00:00"/>
    <n v="23"/>
    <n v="8"/>
    <x v="3"/>
    <s v="تم التسليم محمود على "/>
    <x v="0"/>
  </r>
  <r>
    <n v="98"/>
    <s v="بولا هومزمارت"/>
    <x v="1"/>
    <s v="المعادى"/>
    <x v="4"/>
    <x v="7"/>
    <x v="1"/>
    <x v="0"/>
    <s v="اسبانى"/>
    <n v="100"/>
    <s v="فردى"/>
    <x v="0"/>
    <m/>
    <n v="5100"/>
    <x v="36"/>
    <d v="2024-11-11T00:00:00"/>
    <d v="2024-11-21T00:00:00"/>
    <n v="24"/>
    <n v="10"/>
    <x v="3"/>
    <s v="تم التسليم محمود على "/>
    <x v="0"/>
  </r>
  <r>
    <n v="99"/>
    <s v="بولا هومزمارت"/>
    <x v="1"/>
    <s v="المعادى"/>
    <x v="4"/>
    <x v="7"/>
    <x v="0"/>
    <x v="0"/>
    <s v="اسبانى"/>
    <n v="120"/>
    <s v="فردى"/>
    <x v="0"/>
    <m/>
    <n v="5300"/>
    <x v="36"/>
    <d v="2024-11-11T00:00:00"/>
    <d v="2024-11-21T00:00:00"/>
    <n v="24"/>
    <n v="10"/>
    <x v="3"/>
    <s v="تم التسليم محمود على "/>
    <x v="0"/>
  </r>
  <r>
    <n v="100"/>
    <s v="محمد شكرى "/>
    <x v="0"/>
    <s v="مدينتى"/>
    <x v="4"/>
    <x v="0"/>
    <x v="4"/>
    <x v="0"/>
    <s v="كيفنج"/>
    <n v="80"/>
    <s v="دورين"/>
    <x v="0"/>
    <m/>
    <n v="12099"/>
    <x v="37"/>
    <d v="2024-11-26T00:00:00"/>
    <d v="2024-11-27T00:00:00"/>
    <n v="16"/>
    <n v="1"/>
    <x v="3"/>
    <s v="تم التسليم محمود على "/>
    <x v="0"/>
  </r>
  <r>
    <n v="101"/>
    <s v="شيك هومز"/>
    <x v="1"/>
    <s v="مخزن شيك هومز"/>
    <x v="0"/>
    <x v="1"/>
    <x v="2"/>
    <x v="2"/>
    <s v="ارينا"/>
    <m/>
    <s v="4×1"/>
    <x v="1"/>
    <s v="بترولى"/>
    <n v="15872"/>
    <x v="38"/>
    <d v="2024-12-03T00:00:00"/>
    <d v="2024-11-14T00:00:00"/>
    <n v="6"/>
    <n v="-19"/>
    <x v="2"/>
    <s v="تم التسليم محمود على "/>
    <x v="0"/>
  </r>
  <r>
    <n v="102"/>
    <s v="منزلى"/>
    <x v="1"/>
    <s v="التجمع الخامس"/>
    <x v="4"/>
    <x v="6"/>
    <x v="2"/>
    <x v="0"/>
    <s v="فورجينا"/>
    <n v="120"/>
    <s v="فردى"/>
    <x v="0"/>
    <m/>
    <n v="4520"/>
    <x v="39"/>
    <d v="2024-11-22T00:00:00"/>
    <d v="2024-11-21T00:00:00"/>
    <n v="11"/>
    <n v="-1"/>
    <x v="2"/>
    <s v="تم التسليم محمود على "/>
    <x v="0"/>
  </r>
  <r>
    <n v="103"/>
    <s v="اوسكار راتن"/>
    <x v="1"/>
    <s v="المخزن ابو الغيط "/>
    <x v="5"/>
    <x v="4"/>
    <x v="0"/>
    <x v="0"/>
    <s v="كينج"/>
    <n v="90"/>
    <s v="دورين"/>
    <x v="1"/>
    <m/>
    <n v="5766"/>
    <x v="40"/>
    <d v="2024-11-26T00:00:00"/>
    <d v="2024-11-25T00:00:00"/>
    <n v="13"/>
    <n v="-1"/>
    <x v="2"/>
    <s v="تم التسليم محمود على "/>
    <x v="0"/>
  </r>
  <r>
    <n v="104"/>
    <s v="حماده"/>
    <x v="0"/>
    <s v="المعادى"/>
    <x v="4"/>
    <x v="0"/>
    <x v="0"/>
    <x v="0"/>
    <s v="فورجينا"/>
    <n v="160"/>
    <s v="فردى"/>
    <x v="6"/>
    <m/>
    <n v="11395"/>
    <x v="40"/>
    <d v="2024-11-24T00:00:00"/>
    <d v="2024-11-27T00:00:00"/>
    <n v="15"/>
    <n v="3"/>
    <x v="3"/>
    <s v="تم التسليم محمود على "/>
    <x v="0"/>
  </r>
  <r>
    <n v="105"/>
    <s v="صفاء عبد الباقي"/>
    <x v="0"/>
    <s v="التجمع الخامس"/>
    <x v="4"/>
    <x v="0"/>
    <x v="2"/>
    <x v="0"/>
    <s v="كينج "/>
    <n v="80"/>
    <s v="دورين"/>
    <x v="0"/>
    <m/>
    <n v="12919"/>
    <x v="41"/>
    <d v="2024-11-30T00:00:00"/>
    <d v="2024-11-27T00:00:00"/>
    <n v="13"/>
    <n v="-3"/>
    <x v="2"/>
    <s v="تم التسليم محمود على "/>
    <x v="0"/>
  </r>
  <r>
    <n v="106"/>
    <s v="اوسكار راتن"/>
    <x v="1"/>
    <s v="المخزن ابو الغيط "/>
    <x v="5"/>
    <x v="4"/>
    <x v="2"/>
    <x v="0"/>
    <s v="نوفال"/>
    <n v="120"/>
    <s v="دورين"/>
    <x v="4"/>
    <m/>
    <n v="6376"/>
    <x v="41"/>
    <d v="2024-11-27T00:00:00"/>
    <d v="2024-11-25T00:00:00"/>
    <n v="11"/>
    <n v="-2"/>
    <x v="2"/>
    <s v="تم التسليم محمود على "/>
    <x v="0"/>
  </r>
  <r>
    <n v="107"/>
    <s v="اوسكار راتن"/>
    <x v="1"/>
    <s v="المخزن"/>
    <x v="8"/>
    <x v="4"/>
    <x v="0"/>
    <x v="0"/>
    <s v="نوفال"/>
    <n v="90"/>
    <s v="دورين "/>
    <x v="1"/>
    <m/>
    <n v="5294"/>
    <x v="41"/>
    <d v="2024-11-27T00:00:00"/>
    <d v="2024-11-25T00:00:00"/>
    <n v="11"/>
    <n v="-2"/>
    <x v="2"/>
    <s v="تم التسليم محمود على "/>
    <x v="0"/>
  </r>
  <r>
    <n v="108"/>
    <s v="رندا العامرى "/>
    <x v="0"/>
    <s v="٦ اكتوبر الجيزه "/>
    <x v="0"/>
    <x v="8"/>
    <x v="1"/>
    <x v="0"/>
    <s v="كيفنج "/>
    <n v="80"/>
    <s v="دورين "/>
    <x v="0"/>
    <m/>
    <n v="7396"/>
    <x v="42"/>
    <d v="2024-11-28T00:00:00"/>
    <d v="2024-11-26T00:00:00"/>
    <n v="9"/>
    <n v="-2"/>
    <x v="2"/>
    <s v="تم التسليم محمود على "/>
    <x v="0"/>
  </r>
  <r>
    <n v="109"/>
    <s v="ساره"/>
    <x v="0"/>
    <s v="٦ اكتوبر الجيزه"/>
    <x v="0"/>
    <x v="0"/>
    <x v="2"/>
    <x v="0"/>
    <s v="كينج"/>
    <n v="90"/>
    <s v="دورين"/>
    <x v="1"/>
    <m/>
    <n v="13439"/>
    <x v="43"/>
    <d v="2024-12-05T00:00:00"/>
    <d v="2024-11-26T00:00:00"/>
    <n v="6"/>
    <n v="-9"/>
    <x v="2"/>
    <s v="تم التسليم محمود على "/>
    <x v="0"/>
  </r>
  <r>
    <n v="110"/>
    <s v="تاكى "/>
    <x v="1"/>
    <s v="العباسيه "/>
    <x v="4"/>
    <x v="3"/>
    <x v="1"/>
    <x v="0"/>
    <s v="امريكى"/>
    <n v="160"/>
    <s v="فردى "/>
    <x v="1"/>
    <m/>
    <n v="5100"/>
    <x v="41"/>
    <d v="2024-12-08T00:00:00"/>
    <s v="فشل التسليم"/>
    <s v=""/>
    <s v=""/>
    <x v="1"/>
    <s v="فشل التسليم "/>
    <x v="1"/>
  </r>
  <r>
    <n v="111"/>
    <s v="محمد حمدى"/>
    <x v="0"/>
    <s v="مصر الجديده"/>
    <x v="4"/>
    <x v="2"/>
    <x v="1"/>
    <x v="0"/>
    <s v="كوين "/>
    <n v="160"/>
    <s v="فردى"/>
    <x v="5"/>
    <s v="ابيض"/>
    <n v="6000"/>
    <x v="44"/>
    <d v="2024-12-02T00:00:00"/>
    <d v="2024-11-27T00:00:00"/>
    <n v="5"/>
    <n v="-5"/>
    <x v="2"/>
    <s v="تم التسليم محمود على "/>
    <x v="0"/>
  </r>
  <r>
    <n v="112"/>
    <s v="بافلى هانى "/>
    <x v="0"/>
    <s v="شبرا "/>
    <x v="4"/>
    <x v="0"/>
    <x v="1"/>
    <x v="0"/>
    <s v="اسبانى "/>
    <n v="120"/>
    <s v="فردى "/>
    <x v="4"/>
    <m/>
    <n v="10885"/>
    <x v="45"/>
    <d v="2024-12-05T00:00:00"/>
    <d v="2024-12-10T00:00:00"/>
    <n v="16"/>
    <n v="5"/>
    <x v="3"/>
    <s v="تم التسليم محمود على "/>
    <x v="0"/>
  </r>
  <r>
    <n v="113"/>
    <s v="تاكى "/>
    <x v="1"/>
    <s v="العباسيه "/>
    <x v="4"/>
    <x v="3"/>
    <x v="0"/>
    <x v="2"/>
    <s v="t1"/>
    <m/>
    <s v="t1"/>
    <x v="3"/>
    <m/>
    <n v="6000"/>
    <x v="46"/>
    <d v="2024-12-05T00:00:00"/>
    <d v="2024-11-20T00:00:00"/>
    <n v="1"/>
    <n v="-15"/>
    <x v="2"/>
    <s v="تم التسليم م محمد "/>
    <x v="0"/>
  </r>
  <r>
    <n v="114"/>
    <s v="رنا ميلاد"/>
    <x v="0"/>
    <s v="جليم الإسكندرية "/>
    <x v="1"/>
    <x v="0"/>
    <x v="1"/>
    <x v="1"/>
    <s v="مكتبه"/>
    <m/>
    <m/>
    <x v="3"/>
    <m/>
    <n v="8449"/>
    <x v="47"/>
    <d v="2024-12-10T00:00:00"/>
    <d v="2024-12-23T00:00:00"/>
    <n v="26"/>
    <n v="13"/>
    <x v="3"/>
    <s v="تم التسليم عن طريق شركه شحن "/>
    <x v="0"/>
  </r>
  <r>
    <n v="115"/>
    <s v="محمد ناجى"/>
    <x v="0"/>
    <s v="مدينه نصر "/>
    <x v="4"/>
    <x v="0"/>
    <x v="0"/>
    <x v="1"/>
    <s v="ميكانزم"/>
    <m/>
    <s v="دوران "/>
    <x v="0"/>
    <s v="ابيض في بنى غامق"/>
    <n v="10249"/>
    <x v="47"/>
    <d v="2024-12-10T00:00:00"/>
    <d v="2024-12-19T00:00:00"/>
    <n v="22"/>
    <n v="9"/>
    <x v="3"/>
    <s v="تم التسليم محمود على "/>
    <x v="0"/>
  </r>
  <r>
    <n v="116"/>
    <s v="احمد عبد الستار"/>
    <x v="0"/>
    <s v="المندره اسكندريه"/>
    <x v="1"/>
    <x v="0"/>
    <x v="0"/>
    <x v="0"/>
    <s v="كيفنج"/>
    <n v="100"/>
    <s v="دورين"/>
    <x v="1"/>
    <m/>
    <n v="14905"/>
    <x v="48"/>
    <d v="2024-12-15T00:00:00"/>
    <s v="فشل التسليم"/>
    <s v=""/>
    <s v=""/>
    <x v="1"/>
    <s v="فشل التسليم "/>
    <x v="1"/>
  </r>
  <r>
    <n v="117"/>
    <s v="نور "/>
    <x v="0"/>
    <s v="القاهره الجديده"/>
    <x v="4"/>
    <x v="0"/>
    <x v="0"/>
    <x v="1"/>
    <s v="ميكانزم"/>
    <m/>
    <s v="دوران "/>
    <x v="1"/>
    <s v="بنى غامق"/>
    <n v="10249"/>
    <x v="49"/>
    <d v="2024-12-12T00:00:00"/>
    <s v="فشل التسليم"/>
    <s v=""/>
    <s v=""/>
    <x v="1"/>
    <s v="فشل التسليم "/>
    <x v="1"/>
  </r>
  <r>
    <n v="118"/>
    <s v="نور"/>
    <x v="0"/>
    <s v="القاهره الجديده"/>
    <x v="4"/>
    <x v="0"/>
    <x v="0"/>
    <x v="1"/>
    <m/>
    <m/>
    <s v="رف سحاب"/>
    <x v="1"/>
    <s v="بنى غامق "/>
    <n v="9029"/>
    <x v="49"/>
    <d v="2024-12-12T00:00:00"/>
    <s v="فشل التسليم"/>
    <s v=""/>
    <s v=""/>
    <x v="1"/>
    <s v="فشل التسليم "/>
    <x v="1"/>
  </r>
  <r>
    <n v="119"/>
    <s v="تامر"/>
    <x v="0"/>
    <s v="العين السخنه"/>
    <x v="6"/>
    <x v="0"/>
    <x v="0"/>
    <x v="1"/>
    <m/>
    <m/>
    <s v="٢ ميكانزم"/>
    <x v="1"/>
    <s v="بيج "/>
    <n v="9029"/>
    <x v="49"/>
    <d v="2024-12-12T00:00:00"/>
    <s v="فشل التسليم"/>
    <s v=""/>
    <s v=""/>
    <x v="1"/>
    <s v="فشل التسليم "/>
    <x v="1"/>
  </r>
  <r>
    <n v="120"/>
    <s v="هناء اسامه"/>
    <x v="0"/>
    <s v="القطاميه"/>
    <x v="4"/>
    <x v="0"/>
    <x v="2"/>
    <x v="0"/>
    <s v="نوفال"/>
    <n v="80"/>
    <s v="دورين "/>
    <x v="0"/>
    <m/>
    <n v="12099"/>
    <x v="50"/>
    <d v="2024-12-17T00:00:00"/>
    <s v="فشل التسليم"/>
    <s v=""/>
    <s v=""/>
    <x v="1"/>
    <s v="فشل التسليم "/>
    <x v="1"/>
  </r>
  <r>
    <n v="121"/>
    <s v="اوسكار راتن"/>
    <x v="1"/>
    <s v="المخزن ابو الغيط "/>
    <x v="5"/>
    <x v="4"/>
    <x v="1"/>
    <x v="0"/>
    <s v="كيفنج "/>
    <n v="90"/>
    <s v="دورين "/>
    <x v="2"/>
    <m/>
    <n v="5217"/>
    <x v="51"/>
    <d v="2024-12-14T00:00:00"/>
    <d v="2024-12-10T00:00:00"/>
    <n v="9"/>
    <n v="-4"/>
    <x v="2"/>
    <s v="تم التسليم محمود على "/>
    <x v="0"/>
  </r>
  <r>
    <n v="122"/>
    <s v="محمد عادل "/>
    <x v="0"/>
    <s v="العبور"/>
    <x v="5"/>
    <x v="0"/>
    <x v="1"/>
    <x v="0"/>
    <m/>
    <m/>
    <s v="منطبق"/>
    <x v="1"/>
    <s v="اسود"/>
    <n v="10249"/>
    <x v="52"/>
    <d v="2024-12-14T00:00:00"/>
    <d v="2024-12-19T00:00:00"/>
    <n v="15"/>
    <n v="5"/>
    <x v="3"/>
    <s v="تم التسليم محمود على "/>
    <x v="0"/>
  </r>
  <r>
    <n v="123"/>
    <s v="مريم عنان"/>
    <x v="0"/>
    <s v="اب تاون كايرو التجمع "/>
    <x v="4"/>
    <x v="1"/>
    <x v="1"/>
    <x v="0"/>
    <s v="كينج"/>
    <m/>
    <s v="دورين"/>
    <x v="1"/>
    <m/>
    <n v="10445"/>
    <x v="53"/>
    <d v="2024-12-31T00:00:00"/>
    <d v="2024-12-12T00:00:00"/>
    <n v="3"/>
    <n v="-19"/>
    <x v="2"/>
    <s v="تم التسليم محمود على "/>
    <x v="0"/>
  </r>
  <r>
    <n v="124"/>
    <s v="هبه عطيه "/>
    <x v="0"/>
    <s v="القاهره الجديده"/>
    <x v="4"/>
    <x v="0"/>
    <x v="1"/>
    <x v="1"/>
    <s v="ميكانزم"/>
    <m/>
    <s v="دوران"/>
    <x v="1"/>
    <s v="بنى غامق"/>
    <n v="11199"/>
    <x v="54"/>
    <d v="2024-12-24T00:00:00"/>
    <d v="2024-12-19T00:00:00"/>
    <n v="7"/>
    <n v="-5"/>
    <x v="2"/>
    <s v="تم التسليم محمود على "/>
    <x v="0"/>
  </r>
  <r>
    <n v="125"/>
    <s v="حمدى ذكرى"/>
    <x v="0"/>
    <s v="٦ اكتوبر الجيزه"/>
    <x v="0"/>
    <x v="0"/>
    <x v="1"/>
    <x v="0"/>
    <s v="نوفال"/>
    <n v="80"/>
    <s v="دورين"/>
    <x v="1"/>
    <m/>
    <n v="13099"/>
    <x v="54"/>
    <d v="2024-12-28T00:00:00"/>
    <d v="2024-12-29T00:00:00"/>
    <n v="17"/>
    <n v="1"/>
    <x v="3"/>
    <s v="تم التسليم محمود على "/>
    <x v="0"/>
  </r>
  <r>
    <n v="126"/>
    <s v="شيك هومز"/>
    <x v="1"/>
    <s v="مخزن شيك هومز"/>
    <x v="0"/>
    <x v="1"/>
    <x v="2"/>
    <x v="2"/>
    <s v="ارينا"/>
    <m/>
    <s v="4×1"/>
    <x v="1"/>
    <s v="روك ١٠"/>
    <n v="8700"/>
    <x v="55"/>
    <d v="2025-01-05T00:00:00"/>
    <d v="2024-12-29T00:00:00"/>
    <n v="15"/>
    <n v="-7"/>
    <x v="2"/>
    <s v="تم التسليم 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E4D94D-6141-4706-AB28-69BB4F7D608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D6" firstHeaderRow="1" firstDataRow="1" firstDataCol="1"/>
  <pivotFields count="22">
    <pivotField showAll="0"/>
    <pivotField showAll="0"/>
    <pivotField showAll="0">
      <items count="3">
        <item x="0"/>
        <item x="1"/>
        <item t="default"/>
      </items>
    </pivotField>
    <pivotField showAll="0"/>
    <pivotField showAll="0"/>
    <pivotField showAll="0"/>
    <pivotField showAll="0"/>
    <pivotField showAll="0">
      <items count="9">
        <item m="1" x="6"/>
        <item x="1"/>
        <item x="3"/>
        <item x="0"/>
        <item m="1" x="7"/>
        <item x="5"/>
        <item x="4"/>
        <item x="2"/>
        <item t="default"/>
      </items>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axis="axisRow" dataField="1" showAll="0">
      <items count="5">
        <item x="0"/>
        <item m="1" x="2"/>
        <item m="1" x="3"/>
        <item x="1"/>
        <item t="default"/>
      </items>
    </pivotField>
  </pivotFields>
  <rowFields count="1">
    <field x="21"/>
  </rowFields>
  <rowItems count="3">
    <i>
      <x/>
    </i>
    <i>
      <x v="3"/>
    </i>
    <i t="grand">
      <x/>
    </i>
  </rowItems>
  <colItems count="1">
    <i/>
  </colItems>
  <dataFields count="1">
    <dataField name="Count of الحالة" fld="21" subtotal="count" baseField="0" baseItem="0"/>
  </dataFields>
  <formats count="12">
    <format dxfId="62">
      <pivotArea type="all" dataOnly="0" outline="0" fieldPosition="0"/>
    </format>
    <format dxfId="61">
      <pivotArea outline="0" collapsedLevelsAreSubtotals="1" fieldPosition="0"/>
    </format>
    <format dxfId="60">
      <pivotArea field="21" type="button" dataOnly="0" labelOnly="1" outline="0" axis="axisRow" fieldPosition="0"/>
    </format>
    <format dxfId="59">
      <pivotArea dataOnly="0" labelOnly="1" fieldPosition="0">
        <references count="1">
          <reference field="21" count="0"/>
        </references>
      </pivotArea>
    </format>
    <format dxfId="58">
      <pivotArea dataOnly="0" labelOnly="1" grandRow="1" outline="0" fieldPosition="0"/>
    </format>
    <format dxfId="57">
      <pivotArea dataOnly="0" labelOnly="1" outline="0" axis="axisValues" fieldPosition="0"/>
    </format>
    <format dxfId="50">
      <pivotArea type="all" dataOnly="0" outline="0" fieldPosition="0"/>
    </format>
    <format dxfId="49">
      <pivotArea outline="0" collapsedLevelsAreSubtotals="1" fieldPosition="0"/>
    </format>
    <format dxfId="48">
      <pivotArea field="21" type="button" dataOnly="0" labelOnly="1" outline="0" axis="axisRow" fieldPosition="0"/>
    </format>
    <format dxfId="47">
      <pivotArea dataOnly="0" labelOnly="1" fieldPosition="0">
        <references count="1">
          <reference field="21" count="0"/>
        </references>
      </pivotArea>
    </format>
    <format dxfId="46">
      <pivotArea dataOnly="0" labelOnly="1" grandRow="1" outline="0"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B5A2C2-760B-452D-B893-8E7FAA28947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Q3:R10" firstHeaderRow="1" firstDataRow="1" firstDataCol="1"/>
  <pivotFields count="22">
    <pivotField showAll="0"/>
    <pivotField showAll="0"/>
    <pivotField showAll="0">
      <items count="3">
        <item x="0"/>
        <item x="1"/>
        <item t="default"/>
      </items>
    </pivotField>
    <pivotField showAll="0"/>
    <pivotField showAll="0"/>
    <pivotField showAll="0"/>
    <pivotField showAll="0"/>
    <pivotField axis="axisRow" dataField="1" showAll="0" sortType="ascending">
      <items count="9">
        <item x="2"/>
        <item x="4"/>
        <item x="5"/>
        <item m="1" x="7"/>
        <item x="0"/>
        <item x="3"/>
        <item x="1"/>
        <item m="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5">
        <item x="0"/>
        <item m="1" x="2"/>
        <item m="1" x="3"/>
        <item x="1"/>
        <item t="default"/>
      </items>
    </pivotField>
  </pivotFields>
  <rowFields count="1">
    <field x="7"/>
  </rowFields>
  <rowItems count="7">
    <i>
      <x v="2"/>
    </i>
    <i>
      <x v="5"/>
    </i>
    <i>
      <x v="1"/>
    </i>
    <i>
      <x/>
    </i>
    <i>
      <x v="6"/>
    </i>
    <i>
      <x v="4"/>
    </i>
    <i t="grand">
      <x/>
    </i>
  </rowItems>
  <colItems count="1">
    <i/>
  </colItems>
  <dataFields count="1">
    <dataField name="Count of صنف" fld="7" subtotal="count" baseField="7" baseItem="4"/>
  </dataFields>
  <formats count="1">
    <format dxfId="63">
      <pivotArea dataOnly="0"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9C7F73-1306-41F9-9965-C1630235106D}"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F3:AG6" firstHeaderRow="1" firstDataRow="1" firstDataCol="1"/>
  <pivotFields count="22">
    <pivotField showAll="0"/>
    <pivotField showAll="0"/>
    <pivotField axis="axisRow" dataField="1"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9">
        <item m="1" x="6"/>
        <item x="1"/>
        <item x="3"/>
        <item x="0"/>
        <item m="1" x="7"/>
        <item x="5"/>
        <item x="4"/>
        <item x="2"/>
        <item t="default"/>
      </items>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5">
        <item x="0"/>
        <item m="1" x="2"/>
        <item m="1" x="3"/>
        <item x="1"/>
        <item t="default"/>
      </items>
    </pivotField>
  </pivotFields>
  <rowFields count="1">
    <field x="2"/>
  </rowFields>
  <rowItems count="3">
    <i>
      <x/>
    </i>
    <i>
      <x v="1"/>
    </i>
    <i t="grand">
      <x/>
    </i>
  </rowItems>
  <colItems count="1">
    <i/>
  </colItems>
  <dataFields count="1">
    <dataField name="Count of نوع العميل" fld="2" subtotal="count" baseField="0" baseItem="0"/>
  </dataFields>
  <formats count="11">
    <format dxfId="68">
      <pivotArea field="2" type="button" dataOnly="0" labelOnly="1" outline="0" axis="axisRow" fieldPosition="0"/>
    </format>
    <format dxfId="67">
      <pivotArea dataOnly="0" labelOnly="1" fieldPosition="0">
        <references count="1">
          <reference field="2" count="0"/>
        </references>
      </pivotArea>
    </format>
    <format dxfId="66">
      <pivotArea dataOnly="0" labelOnly="1" grandRow="1" outline="0" fieldPosition="0"/>
    </format>
    <format dxfId="65">
      <pivotArea outline="0" collapsedLevelsAreSubtotals="1" fieldPosition="0"/>
    </format>
    <format dxfId="64">
      <pivotArea dataOnly="0" labelOnly="1" outline="0" axis="axisValues"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3">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2" count="1" selected="0">
            <x v="0"/>
          </reference>
        </references>
      </pivotArea>
    </chartFormat>
    <chartFormat chart="31"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975E84-679B-4631-AE6B-7E45DCEDB7D7}"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C3:AD13" firstHeaderRow="1" firstDataRow="1" firstDataCol="1"/>
  <pivotFields count="22">
    <pivotField showAll="0"/>
    <pivotField showAll="0"/>
    <pivotField showAll="0">
      <items count="3">
        <item x="0"/>
        <item x="1"/>
        <item t="default"/>
      </items>
    </pivotField>
    <pivotField showAll="0"/>
    <pivotField axis="axisRow" showAll="0" sortType="descending">
      <items count="11">
        <item x="7"/>
        <item x="1"/>
        <item x="3"/>
        <item x="0"/>
        <item x="6"/>
        <item x="4"/>
        <item x="5"/>
        <item x="8"/>
        <item x="2"/>
        <item m="1" x="9"/>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9">
        <item m="1" x="6"/>
        <item x="1"/>
        <item x="3"/>
        <item x="0"/>
        <item m="1" x="7"/>
        <item x="5"/>
        <item x="4"/>
        <item x="2"/>
        <item t="default"/>
      </items>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5">
        <item x="0"/>
        <item m="1" x="2"/>
        <item m="1" x="3"/>
        <item x="1"/>
        <item t="default"/>
      </items>
    </pivotField>
  </pivotFields>
  <rowFields count="1">
    <field x="4"/>
  </rowFields>
  <rowItems count="10">
    <i>
      <x v="5"/>
    </i>
    <i>
      <x v="3"/>
    </i>
    <i>
      <x v="6"/>
    </i>
    <i>
      <x v="4"/>
    </i>
    <i>
      <x v="1"/>
    </i>
    <i>
      <x v="2"/>
    </i>
    <i>
      <x v="8"/>
    </i>
    <i>
      <x v="7"/>
    </i>
    <i>
      <x/>
    </i>
    <i t="grand">
      <x/>
    </i>
  </rowItems>
  <colItems count="1">
    <i/>
  </colItems>
  <dataFields count="1">
    <dataField name="Count of صنف" fld="7" subtotal="count" baseField="0" baseItem="0"/>
  </dataFields>
  <formats count="12">
    <format dxfId="74">
      <pivotArea type="all" dataOnly="0" outline="0" fieldPosition="0"/>
    </format>
    <format dxfId="73">
      <pivotArea outline="0" collapsedLevelsAreSubtotals="1" fieldPosition="0"/>
    </format>
    <format dxfId="72">
      <pivotArea field="4" type="button" dataOnly="0" labelOnly="1" outline="0" axis="axisRow" fieldPosition="0"/>
    </format>
    <format dxfId="71">
      <pivotArea dataOnly="0" labelOnly="1" fieldPosition="0">
        <references count="1">
          <reference field="4" count="0"/>
        </references>
      </pivotArea>
    </format>
    <format dxfId="70">
      <pivotArea dataOnly="0" labelOnly="1" grandRow="1" outline="0" fieldPosition="0"/>
    </format>
    <format dxfId="69">
      <pivotArea dataOnly="0" labelOnly="1" outline="0" axis="axisValues" fieldPosition="0"/>
    </format>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41F012-42A4-4CCA-9322-50319EB00D2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2">
    <pivotField dataField="1" showAll="0"/>
    <pivotField showAll="0"/>
    <pivotField showAll="0">
      <items count="3">
        <item x="0"/>
        <item x="1"/>
        <item t="default"/>
      </items>
    </pivotField>
    <pivotField showAll="0"/>
    <pivotField showAll="0"/>
    <pivotField showAll="0"/>
    <pivotField showAll="0"/>
    <pivotField showAll="0">
      <items count="9">
        <item m="1" x="6"/>
        <item x="1"/>
        <item x="3"/>
        <item x="0"/>
        <item m="1" x="7"/>
        <item x="5"/>
        <item x="4"/>
        <item x="2"/>
        <item t="default"/>
      </items>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5">
        <item x="0"/>
        <item m="1" x="2"/>
        <item m="1" x="3"/>
        <item x="1"/>
        <item t="default"/>
      </items>
    </pivotField>
  </pivotFields>
  <rowItems count="1">
    <i/>
  </rowItems>
  <colItems count="1">
    <i/>
  </colItems>
  <dataFields count="1">
    <dataField name="Count of ID" fld="0" subtotal="count" baseField="0" baseItem="0"/>
  </dataFields>
  <formats count="7">
    <format dxfId="78">
      <pivotArea outline="0" collapsedLevelsAreSubtotals="1"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2453DC-3576-49CD-9833-681C629C705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N3:O13" firstHeaderRow="1" firstDataRow="1" firstDataCol="1"/>
  <pivotFields count="22">
    <pivotField showAll="0"/>
    <pivotField showAll="0"/>
    <pivotField showAll="0">
      <items count="3">
        <item x="0"/>
        <item x="1"/>
        <item t="default"/>
      </items>
    </pivotField>
    <pivotField showAll="0"/>
    <pivotField showAll="0"/>
    <pivotField axis="axisRow" showAll="0" sortType="descending">
      <items count="15">
        <item x="5"/>
        <item x="4"/>
        <item m="1" x="10"/>
        <item x="3"/>
        <item x="1"/>
        <item m="1" x="9"/>
        <item x="2"/>
        <item m="1" x="12"/>
        <item x="8"/>
        <item x="7"/>
        <item m="1" x="11"/>
        <item x="6"/>
        <item x="0"/>
        <item m="1" x="13"/>
        <item t="default"/>
      </items>
      <autoSortScope>
        <pivotArea dataOnly="0" outline="0" fieldPosition="0">
          <references count="1">
            <reference field="4294967294" count="1" selected="0">
              <x v="0"/>
            </reference>
          </references>
        </pivotArea>
      </autoSortScope>
    </pivotField>
    <pivotField showAll="0"/>
    <pivotField dataField="1" showAll="0">
      <items count="9">
        <item m="1" x="6"/>
        <item x="1"/>
        <item x="3"/>
        <item x="0"/>
        <item m="1" x="7"/>
        <item x="5"/>
        <item x="4"/>
        <item x="2"/>
        <item t="default"/>
      </items>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5">
        <item x="0"/>
        <item m="1" x="2"/>
        <item m="1" x="3"/>
        <item x="1"/>
        <item t="default"/>
      </items>
    </pivotField>
  </pivotFields>
  <rowFields count="1">
    <field x="5"/>
  </rowFields>
  <rowItems count="10">
    <i>
      <x v="12"/>
    </i>
    <i>
      <x v="4"/>
    </i>
    <i>
      <x v="1"/>
    </i>
    <i>
      <x v="3"/>
    </i>
    <i>
      <x/>
    </i>
    <i>
      <x v="6"/>
    </i>
    <i>
      <x v="9"/>
    </i>
    <i>
      <x v="11"/>
    </i>
    <i>
      <x v="8"/>
    </i>
    <i t="grand">
      <x/>
    </i>
  </rowItems>
  <colItems count="1">
    <i/>
  </colItems>
  <dataFields count="1">
    <dataField name="Count of صنف" fld="7" subtotal="count" baseField="0" baseItem="0"/>
  </dataFields>
  <formats count="12">
    <format dxfId="84">
      <pivotArea type="all" dataOnly="0" outline="0" fieldPosition="0"/>
    </format>
    <format dxfId="83">
      <pivotArea outline="0" collapsedLevelsAreSubtotals="1" fieldPosition="0"/>
    </format>
    <format dxfId="82">
      <pivotArea field="5" type="button" dataOnly="0" labelOnly="1" outline="0" axis="axisRow" fieldPosition="0"/>
    </format>
    <format dxfId="81">
      <pivotArea dataOnly="0" labelOnly="1" fieldPosition="0">
        <references count="1">
          <reference field="5" count="0"/>
        </references>
      </pivotArea>
    </format>
    <format dxfId="80">
      <pivotArea dataOnly="0" labelOnly="1" grandRow="1" outline="0" fieldPosition="0"/>
    </format>
    <format dxfId="79">
      <pivotArea dataOnly="0" labelOnly="1" outline="0" axis="axisValues" fieldPosition="0"/>
    </format>
    <format dxfId="35">
      <pivotArea type="all" dataOnly="0" outline="0" fieldPosition="0"/>
    </format>
    <format dxfId="34">
      <pivotArea outline="0" collapsedLevelsAreSubtotals="1" fieldPosition="0"/>
    </format>
    <format dxfId="33">
      <pivotArea field="5" type="button" dataOnly="0" labelOnly="1" outline="0" axis="axisRow" fieldPosition="0"/>
    </format>
    <format dxfId="32">
      <pivotArea dataOnly="0" labelOnly="1" fieldPosition="0">
        <references count="1">
          <reference field="5" count="0"/>
        </references>
      </pivotArea>
    </format>
    <format dxfId="31">
      <pivotArea dataOnly="0" labelOnly="1" grandRow="1" outline="0" fieldPosition="0"/>
    </format>
    <format dxfId="3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C67538-6478-4D3D-825B-CBD309BA2EC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Z3:AA6" firstHeaderRow="1" firstDataRow="1" firstDataCol="1"/>
  <pivotFields count="22">
    <pivotField showAll="0"/>
    <pivotField showAll="0"/>
    <pivotField showAll="0">
      <items count="3">
        <item x="0"/>
        <item x="1"/>
        <item t="default"/>
      </items>
    </pivotField>
    <pivotField showAll="0"/>
    <pivotField showAll="0"/>
    <pivotField showAll="0"/>
    <pivotField showAll="0"/>
    <pivotField showAll="0">
      <items count="9">
        <item m="1" x="6"/>
        <item x="1"/>
        <item x="3"/>
        <item x="0"/>
        <item m="1" x="7"/>
        <item x="5"/>
        <item x="4"/>
        <item x="2"/>
        <item t="default"/>
      </items>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axis="axisRow" dataField="1" showAll="0">
      <items count="5">
        <item x="0"/>
        <item m="1" x="2"/>
        <item m="1" x="3"/>
        <item x="1"/>
        <item t="default"/>
      </items>
    </pivotField>
  </pivotFields>
  <rowFields count="1">
    <field x="21"/>
  </rowFields>
  <rowItems count="3">
    <i>
      <x/>
    </i>
    <i>
      <x v="3"/>
    </i>
    <i t="grand">
      <x/>
    </i>
  </rowItems>
  <colItems count="1">
    <i/>
  </colItems>
  <dataFields count="1">
    <dataField name="Count of الحالة" fld="21" subtotal="count" showDataAs="percentOfTotal" baseField="21" baseItem="0" numFmtId="10"/>
  </dataFields>
  <formats count="13">
    <format dxfId="91">
      <pivotArea collapsedLevelsAreSubtotals="1" fieldPosition="0">
        <references count="1">
          <reference field="21" count="0"/>
        </references>
      </pivotArea>
    </format>
    <format dxfId="90">
      <pivotArea type="all" dataOnly="0" outline="0" fieldPosition="0"/>
    </format>
    <format dxfId="89">
      <pivotArea outline="0" collapsedLevelsAreSubtotals="1" fieldPosition="0"/>
    </format>
    <format dxfId="88">
      <pivotArea field="21" type="button" dataOnly="0" labelOnly="1" outline="0" axis="axisRow" fieldPosition="0"/>
    </format>
    <format dxfId="87">
      <pivotArea dataOnly="0" labelOnly="1" fieldPosition="0">
        <references count="1">
          <reference field="21" count="0"/>
        </references>
      </pivotArea>
    </format>
    <format dxfId="86">
      <pivotArea dataOnly="0" labelOnly="1" grandRow="1" outline="0" fieldPosition="0"/>
    </format>
    <format dxfId="85">
      <pivotArea dataOnly="0" labelOnly="1" outline="0" axis="axisValues" fieldPosition="0"/>
    </format>
    <format dxfId="17">
      <pivotArea type="all" dataOnly="0" outline="0" fieldPosition="0"/>
    </format>
    <format dxfId="16">
      <pivotArea outline="0" collapsedLevelsAreSubtotals="1" fieldPosition="0"/>
    </format>
    <format dxfId="15">
      <pivotArea field="21" type="button" dataOnly="0" labelOnly="1" outline="0" axis="axisRow" fieldPosition="0"/>
    </format>
    <format dxfId="14">
      <pivotArea dataOnly="0" labelOnly="1" fieldPosition="0">
        <references count="1">
          <reference field="21" count="0"/>
        </references>
      </pivotArea>
    </format>
    <format dxfId="13">
      <pivotArea dataOnly="0" labelOnly="1" grandRow="1" outline="0" fieldPosition="0"/>
    </format>
    <format dxfId="12">
      <pivotArea dataOnly="0" labelOnly="1" outline="0" axis="axisValues" fieldPosition="0"/>
    </format>
  </formats>
  <chartFormats count="3">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1" count="1" selected="0">
            <x v="0"/>
          </reference>
        </references>
      </pivotArea>
    </chartFormat>
    <chartFormat chart="12" format="8">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D06D1F-B29A-47B1-93B2-543F9F547BD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3:L4" firstHeaderRow="1" firstDataRow="1" firstDataCol="0"/>
  <pivotFields count="22">
    <pivotField showAll="0"/>
    <pivotField showAll="0"/>
    <pivotField showAll="0">
      <items count="3">
        <item x="0"/>
        <item x="1"/>
        <item t="default"/>
      </items>
    </pivotField>
    <pivotField showAll="0"/>
    <pivotField showAll="0"/>
    <pivotField showAll="0"/>
    <pivotField showAll="0"/>
    <pivotField showAll="0">
      <items count="9">
        <item m="1" x="6"/>
        <item x="1"/>
        <item x="3"/>
        <item x="0"/>
        <item m="1" x="7"/>
        <item x="5"/>
        <item x="4"/>
        <item x="2"/>
        <item t="default"/>
      </items>
    </pivotField>
    <pivotField showAll="0"/>
    <pivotField showAll="0"/>
    <pivotField showAll="0"/>
    <pivotField showAll="0"/>
    <pivotField showAll="0"/>
    <pivotField dataFiel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5">
        <item x="0"/>
        <item m="1" x="2"/>
        <item m="1" x="3"/>
        <item x="1"/>
        <item t="default"/>
      </items>
    </pivotField>
  </pivotFields>
  <rowItems count="1">
    <i/>
  </rowItems>
  <colItems count="1">
    <i/>
  </colItems>
  <dataFields count="1">
    <dataField name="Average of سعر البيع " fld="13" subtotal="average" baseField="0" baseItem="0" numFmtId="164"/>
  </dataFields>
  <formats count="7">
    <format dxfId="95">
      <pivotArea outline="0" collapsedLevelsAreSubtotals="1"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823D06-E972-4CCE-A5D5-33AD7D9CA66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J4" firstHeaderRow="1" firstDataRow="1" firstDataCol="0"/>
  <pivotFields count="22">
    <pivotField showAll="0"/>
    <pivotField showAll="0"/>
    <pivotField showAll="0">
      <items count="3">
        <item x="0"/>
        <item x="1"/>
        <item t="default"/>
      </items>
    </pivotField>
    <pivotField showAll="0"/>
    <pivotField showAll="0"/>
    <pivotField showAll="0"/>
    <pivotField showAll="0"/>
    <pivotField showAll="0">
      <items count="9">
        <item m="1" x="6"/>
        <item x="1"/>
        <item x="3"/>
        <item x="0"/>
        <item m="1" x="7"/>
        <item x="5"/>
        <item x="4"/>
        <item x="2"/>
        <item t="default"/>
      </items>
    </pivotField>
    <pivotField showAll="0"/>
    <pivotField showAll="0"/>
    <pivotField showAll="0"/>
    <pivotField showAll="0"/>
    <pivotField showAll="0"/>
    <pivotField dataFiel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5">
        <item x="0"/>
        <item m="1" x="2"/>
        <item m="1" x="3"/>
        <item x="1"/>
        <item t="default"/>
      </items>
    </pivotField>
  </pivotFields>
  <rowItems count="1">
    <i/>
  </rowItems>
  <colItems count="1">
    <i/>
  </colItems>
  <dataFields count="1">
    <dataField name="Sum of سعر البيع " fld="13" baseField="0" baseItem="0" numFmtId="164"/>
  </dataFields>
  <formats count="7">
    <format dxfId="99">
      <pivotArea outline="0" collapsedLevelsAreSubtotals="1"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26C236-2FC1-4680-AC3D-F0F1347B74F0}"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W3:X8" firstHeaderRow="1" firstDataRow="1" firstDataCol="1"/>
  <pivotFields count="22">
    <pivotField showAll="0"/>
    <pivotField showAll="0"/>
    <pivotField showAll="0">
      <items count="3">
        <item x="0"/>
        <item x="1"/>
        <item t="default"/>
      </items>
    </pivotField>
    <pivotField showAll="0"/>
    <pivotField showAll="0"/>
    <pivotField showAll="0"/>
    <pivotField showAll="0"/>
    <pivotField showAll="0">
      <items count="9">
        <item m="1" x="6"/>
        <item x="1"/>
        <item x="3"/>
        <item x="0"/>
        <item m="1" x="7"/>
        <item x="5"/>
        <item x="4"/>
        <item x="2"/>
        <item t="default"/>
      </items>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axis="axisRow" dataField="1" showAll="0">
      <items count="5">
        <item x="2"/>
        <item x="1"/>
        <item x="3"/>
        <item x="0"/>
        <item t="default"/>
      </items>
    </pivotField>
    <pivotField showAll="0"/>
    <pivotField showAll="0">
      <items count="5">
        <item x="0"/>
        <item m="1" x="2"/>
        <item m="1" x="3"/>
        <item x="1"/>
        <item t="default"/>
      </items>
    </pivotField>
  </pivotFields>
  <rowFields count="1">
    <field x="19"/>
  </rowFields>
  <rowItems count="5">
    <i>
      <x/>
    </i>
    <i>
      <x v="1"/>
    </i>
    <i>
      <x v="2"/>
    </i>
    <i>
      <x v="3"/>
    </i>
    <i t="grand">
      <x/>
    </i>
  </rowItems>
  <colItems count="1">
    <i/>
  </colItems>
  <dataFields count="1">
    <dataField name="Count of حالة الطلب" fld="19" subtotal="count" showDataAs="percentOfTotal" baseField="19" baseItem="0" numFmtId="9"/>
  </dataFields>
  <formats count="15">
    <format dxfId="108">
      <pivotArea outline="0" fieldPosition="0">
        <references count="1">
          <reference field="4294967294" count="1">
            <x v="0"/>
          </reference>
        </references>
      </pivotArea>
    </format>
    <format dxfId="107">
      <pivotArea collapsedLevelsAreSubtotals="1" fieldPosition="0">
        <references count="1">
          <reference field="19" count="0"/>
        </references>
      </pivotArea>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field="19" type="button" dataOnly="0" labelOnly="1" outline="0" axis="axisRow" fieldPosition="0"/>
    </format>
    <format dxfId="102">
      <pivotArea dataOnly="0" labelOnly="1" fieldPosition="0">
        <references count="1">
          <reference field="19" count="0"/>
        </references>
      </pivotArea>
    </format>
    <format dxfId="101">
      <pivotArea dataOnly="0" labelOnly="1" grandRow="1" outline="0" fieldPosition="0"/>
    </format>
    <format dxfId="100">
      <pivotArea dataOnly="0" labelOnly="1" outline="0" axis="axisValues" fieldPosition="0"/>
    </format>
    <format dxfId="23">
      <pivotArea type="all" dataOnly="0" outline="0" fieldPosition="0"/>
    </format>
    <format dxfId="22">
      <pivotArea outline="0" collapsedLevelsAreSubtotals="1" fieldPosition="0"/>
    </format>
    <format dxfId="21">
      <pivotArea field="19" type="button" dataOnly="0" labelOnly="1" outline="0" axis="axisRow" fieldPosition="0"/>
    </format>
    <format dxfId="20">
      <pivotArea dataOnly="0" labelOnly="1" fieldPosition="0">
        <references count="1">
          <reference field="19" count="0"/>
        </references>
      </pivotArea>
    </format>
    <format dxfId="19">
      <pivotArea dataOnly="0" labelOnly="1" grandRow="1" outline="0" fieldPosition="0"/>
    </format>
    <format dxfId="18">
      <pivotArea dataOnly="0" labelOnly="1" outline="0" axis="axisValues" fieldPosition="0"/>
    </format>
  </formats>
  <chartFormats count="5">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9" count="1" selected="0">
            <x v="0"/>
          </reference>
        </references>
      </pivotArea>
    </chartFormat>
    <chartFormat chart="11" format="12">
      <pivotArea type="data" outline="0" fieldPosition="0">
        <references count="2">
          <reference field="4294967294" count="1" selected="0">
            <x v="0"/>
          </reference>
          <reference field="19" count="1" selected="0">
            <x v="1"/>
          </reference>
        </references>
      </pivotArea>
    </chartFormat>
    <chartFormat chart="11" format="13">
      <pivotArea type="data" outline="0" fieldPosition="0">
        <references count="2">
          <reference field="4294967294" count="1" selected="0">
            <x v="0"/>
          </reference>
          <reference field="19" count="1" selected="0">
            <x v="2"/>
          </reference>
        </references>
      </pivotArea>
    </chartFormat>
    <chartFormat chart="11" format="14">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FCA6BE-CB8E-4260-B818-42854882852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F4" firstHeaderRow="1" firstDataRow="1" firstDataCol="0"/>
  <pivotFields count="22">
    <pivotField showAll="0"/>
    <pivotField showAll="0"/>
    <pivotField showAll="0">
      <items count="3">
        <item x="0"/>
        <item x="1"/>
        <item t="default"/>
      </items>
    </pivotField>
    <pivotField showAll="0"/>
    <pivotField showAll="0"/>
    <pivotField showAll="0"/>
    <pivotField showAll="0"/>
    <pivotField showAll="0">
      <items count="9">
        <item m="1" x="6"/>
        <item x="1"/>
        <item x="3"/>
        <item x="0"/>
        <item m="1" x="7"/>
        <item x="5"/>
        <item x="4"/>
        <item x="2"/>
        <item t="default"/>
      </items>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dataField="1" showAll="0"/>
    <pivotField showAll="0"/>
    <pivotField showAll="0"/>
    <pivotField showAll="0"/>
    <pivotField showAll="0">
      <items count="5">
        <item x="0"/>
        <item m="1" x="2"/>
        <item m="1" x="3"/>
        <item x="1"/>
        <item t="default"/>
      </items>
    </pivotField>
  </pivotFields>
  <rowItems count="1">
    <i/>
  </rowItems>
  <colItems count="1">
    <i/>
  </colItems>
  <dataFields count="1">
    <dataField name="Average of مدة التسليم" fld="17" subtotal="average" baseField="0" baseItem="0" numFmtId="1"/>
  </dataFields>
  <formats count="7">
    <format dxfId="109">
      <pivotArea outline="0" collapsedLevelsAreSubtotals="1"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19B9C5-B059-473D-A787-5ECDD85118AA}"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T3:U15" firstHeaderRow="1" firstDataRow="1" firstDataCol="1"/>
  <pivotFields count="22">
    <pivotField showAll="0"/>
    <pivotField showAll="0"/>
    <pivotField showAll="0">
      <items count="3">
        <item x="0"/>
        <item x="1"/>
        <item t="default"/>
      </items>
    </pivotField>
    <pivotField showAll="0"/>
    <pivotField showAll="0"/>
    <pivotField showAll="0"/>
    <pivotField showAll="0"/>
    <pivotField showAll="0">
      <items count="9">
        <item m="1" x="6"/>
        <item x="1"/>
        <item x="3"/>
        <item x="0"/>
        <item m="1" x="7"/>
        <item x="5"/>
        <item x="4"/>
        <item x="2"/>
        <item t="default"/>
      </items>
    </pivotField>
    <pivotField showAll="0"/>
    <pivotField showAll="0"/>
    <pivotField showAll="0"/>
    <pivotField axis="axisRow" dataField="1" showAll="0" sortType="descending">
      <items count="15">
        <item x="0"/>
        <item x="2"/>
        <item m="1" x="13"/>
        <item x="1"/>
        <item m="1" x="12"/>
        <item x="7"/>
        <item x="11"/>
        <item x="6"/>
        <item x="9"/>
        <item x="5"/>
        <item x="4"/>
        <item x="8"/>
        <item x="10"/>
        <item h="1" x="3"/>
        <item t="default"/>
      </items>
      <autoSortScope>
        <pivotArea dataOnly="0" outline="0" fieldPosition="0">
          <references count="1">
            <reference field="4294967294" count="1" selected="0">
              <x v="0"/>
            </reference>
          </references>
        </pivotArea>
      </autoSortScope>
    </pivotField>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5">
        <item x="0"/>
        <item m="1" x="2"/>
        <item m="1" x="3"/>
        <item x="1"/>
        <item t="default"/>
      </items>
    </pivotField>
  </pivotFields>
  <rowFields count="1">
    <field x="11"/>
  </rowFields>
  <rowItems count="12">
    <i>
      <x v="3"/>
    </i>
    <i>
      <x/>
    </i>
    <i>
      <x v="10"/>
    </i>
    <i>
      <x v="1"/>
    </i>
    <i>
      <x v="6"/>
    </i>
    <i>
      <x v="8"/>
    </i>
    <i>
      <x v="9"/>
    </i>
    <i>
      <x v="5"/>
    </i>
    <i>
      <x v="7"/>
    </i>
    <i>
      <x v="12"/>
    </i>
    <i>
      <x v="11"/>
    </i>
    <i t="grand">
      <x/>
    </i>
  </rowItems>
  <colItems count="1">
    <i/>
  </colItems>
  <dataFields count="1">
    <dataField name="Count of لون معدن" fld="11" subtotal="count" baseField="0" baseItem="0"/>
  </dataFields>
  <formats count="12">
    <format dxfId="115">
      <pivotArea type="all" dataOnly="0" outline="0" fieldPosition="0"/>
    </format>
    <format dxfId="114">
      <pivotArea outline="0" collapsedLevelsAreSubtotals="1" fieldPosition="0"/>
    </format>
    <format dxfId="113">
      <pivotArea field="11" type="button" dataOnly="0" labelOnly="1" outline="0" axis="axisRow" fieldPosition="0"/>
    </format>
    <format dxfId="112">
      <pivotArea dataOnly="0" labelOnly="1" fieldPosition="0">
        <references count="1">
          <reference field="11" count="0"/>
        </references>
      </pivotArea>
    </format>
    <format dxfId="111">
      <pivotArea dataOnly="0" labelOnly="1" grandRow="1" outline="0" fieldPosition="0"/>
    </format>
    <format dxfId="110">
      <pivotArea dataOnly="0" labelOnly="1" outline="0" axis="axisValues" fieldPosition="0"/>
    </format>
    <format dxfId="29">
      <pivotArea type="all" dataOnly="0" outline="0" fieldPosition="0"/>
    </format>
    <format dxfId="28">
      <pivotArea outline="0" collapsedLevelsAreSubtotals="1" fieldPosition="0"/>
    </format>
    <format dxfId="27">
      <pivotArea field="11" type="button" dataOnly="0" labelOnly="1" outline="0" axis="axisRow" fieldPosition="0"/>
    </format>
    <format dxfId="26">
      <pivotArea dataOnly="0" labelOnly="1" fieldPosition="0">
        <references count="1">
          <reference field="11" count="0"/>
        </references>
      </pivotArea>
    </format>
    <format dxfId="25">
      <pivotArea dataOnly="0" labelOnly="1" grandRow="1" outline="0" fieldPosition="0"/>
    </format>
    <format dxfId="24">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F4C267-46AF-4334-BD82-A548BC55E0DE}" autoFormatId="16" applyNumberFormats="0" applyBorderFormats="0" applyFontFormats="0" applyPatternFormats="0" applyAlignmentFormats="0" applyWidthHeightFormats="0">
  <queryTableRefresh nextId="54" unboundColumnsLeft="1">
    <queryTableFields count="22">
      <queryTableField id="52" dataBound="0" tableColumnId="9"/>
      <queryTableField id="1" name="أسم العميل" tableColumnId="1"/>
      <queryTableField id="2" name="نوع العميل" tableColumnId="2"/>
      <queryTableField id="3" name="العنوان" tableColumnId="3"/>
      <queryTableField id="4" name="المحافظة" tableColumnId="4"/>
      <queryTableField id="5" name="منصة البيع " tableColumnId="5"/>
      <queryTableField id="27" dataBound="0" tableColumnId="31"/>
      <queryTableField id="20" name="صنف" tableColumnId="20"/>
      <queryTableField id="21" name="اسم اصنف" tableColumnId="21"/>
      <queryTableField id="22" name="مقاس" tableColumnId="22"/>
      <queryTableField id="23" name="نوع الصنف.1" tableColumnId="23"/>
      <queryTableField id="24" name="لون معدن" tableColumnId="24"/>
      <queryTableField id="25" name="لون قماش" tableColumnId="25"/>
      <queryTableField id="13" name="سعر البيع " tableColumnId="13"/>
      <queryTableField id="15" name="ميعاد الطلب" tableColumnId="15"/>
      <queryTableField id="16" name="ميعاد التسليم" tableColumnId="16"/>
      <queryTableField id="17" name="تاريخ التسليم" tableColumnId="17"/>
      <queryTableField id="49" dataBound="0" tableColumnId="6"/>
      <queryTableField id="50" dataBound="0" tableColumnId="7"/>
      <queryTableField id="51" dataBound="0" tableColumnId="8"/>
      <queryTableField id="18" name="المسئول عن التسليم" tableColumnId="18"/>
      <queryTableField id="19" name="الحالة" tableColumnId="19"/>
    </queryTableFields>
    <queryTableDeletedFields count="15">
      <deletedField name="نوع الصنف"/>
      <deletedField name="الصنف"/>
      <deletedField name="المقاس"/>
      <deletedField name="اسم الصنف"/>
      <deletedField name="اللون المعدن"/>
      <deletedField name="لون القماش"/>
      <deletedField name="طريقه الدفع "/>
      <deletedField name="طريقه الدفع "/>
      <deletedField name="الصنف"/>
      <deletedField name="نوع الصنف"/>
      <deletedField name="اسم الصنف"/>
      <deletedField name="المقاس"/>
      <deletedField name="اللون المعدن"/>
      <deletedField name="لون القماش"/>
      <deletedField name="المنتج"/>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صنف" xr10:uid="{FC1F792F-C347-425C-95F6-128DBD558CA5}" sourceName="صنف">
  <pivotTables>
    <pivotTable tabId="7" name="PivotTable8"/>
    <pivotTable tabId="7" name="PivotTable1"/>
    <pivotTable tabId="7" name="PivotTable10"/>
    <pivotTable tabId="7" name="PivotTable11"/>
    <pivotTable tabId="7" name="PivotTable12"/>
    <pivotTable tabId="7" name="PivotTable13"/>
    <pivotTable tabId="7" name="PivotTable2"/>
    <pivotTable tabId="7" name="PivotTable3"/>
    <pivotTable tabId="7" name="PivotTable5"/>
    <pivotTable tabId="7" name="PivotTable6"/>
    <pivotTable tabId="7" name="PivotTable7"/>
    <pivotTable tabId="7" name="PivotTable9"/>
  </pivotTables>
  <data>
    <tabular pivotCacheId="2144892037" showMissing="0">
      <items count="8">
        <i x="1" s="1"/>
        <i x="3" s="1"/>
        <i x="0" s="1"/>
        <i x="5" s="1"/>
        <i x="4" s="1"/>
        <i x="2" s="1"/>
        <i x="6"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04BA9CD1-93DE-4826-BAA5-9488B0C80B86}" sourceName="الحالة">
  <pivotTables>
    <pivotTable tabId="7" name="PivotTable11"/>
    <pivotTable tabId="7" name="PivotTable1"/>
    <pivotTable tabId="7" name="PivotTable10"/>
    <pivotTable tabId="7" name="PivotTable12"/>
    <pivotTable tabId="7" name="PivotTable13"/>
    <pivotTable tabId="7" name="PivotTable2"/>
    <pivotTable tabId="7" name="PivotTable3"/>
    <pivotTable tabId="7" name="PivotTable5"/>
    <pivotTable tabId="7" name="PivotTable6"/>
    <pivotTable tabId="7" name="PivotTable7"/>
    <pivotTable tabId="7" name="PivotTable8"/>
    <pivotTable tabId="7" name="PivotTable9"/>
  </pivotTables>
  <data>
    <tabular pivotCacheId="2144892037" showMissing="0">
      <items count="4">
        <i x="0" s="1"/>
        <i x="1" s="1"/>
        <i x="2"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408F69A2-0E51-49EF-82B1-0B64AFACF6AE}" sourceName="نوع العميل">
  <pivotTables>
    <pivotTable tabId="7" name="PivotTable13"/>
    <pivotTable tabId="7" name="PivotTable1"/>
    <pivotTable tabId="7" name="PivotTable10"/>
    <pivotTable tabId="7" name="PivotTable11"/>
    <pivotTable tabId="7" name="PivotTable12"/>
    <pivotTable tabId="7" name="PivotTable2"/>
    <pivotTable tabId="7" name="PivotTable3"/>
    <pivotTable tabId="7" name="PivotTable5"/>
    <pivotTable tabId="7" name="PivotTable6"/>
    <pivotTable tabId="7" name="PivotTable7"/>
    <pivotTable tabId="7" name="PivotTable8"/>
    <pivotTable tabId="7" name="PivotTable9"/>
  </pivotTables>
  <data>
    <tabular pivotCacheId="21448920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صنف" xr10:uid="{B432F49E-C921-471B-BDEF-DEFE21B21200}" cache="Slicer_صنف" caption="صنف" columnCount="6" rowHeight="234950"/>
  <slicer name="الحالة" xr10:uid="{9E4086DF-7566-4676-913F-0FCD4792F16F}" cache="Slicer_الحالة" caption="الحالة" columnCount="2" rowHeight="234950"/>
  <slicer name="نوع العميل" xr10:uid="{30492FA6-39C4-406E-9616-3E237BDDE971}" cache="Slicer_نوع_العميل" caption="نوع العميل"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صنف 1" xr10:uid="{CCEA8D38-AC8D-4DB1-BD4B-D5D826904391}" cache="Slicer_صنف" caption="صنف" columnCount="2" style="SlicerStyleLight1 3" rowHeight="274320"/>
  <slicer name="الحالة 1" xr10:uid="{D436B264-FB30-4726-8609-A1DFDB5D9720}" cache="Slicer_الحالة" caption="الحالة" columnCount="2" style="SlicerStyleLight1 3" rowHeight="234950"/>
  <slicer name="نوع العميل 1" xr10:uid="{5EA9E4F6-4AD9-4D53-BB16-404EC64E111C}" cache="Slicer_نوع_العميل" caption="نوع العميل" style="SlicerStyleLight1 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270AF9-82E0-484D-946B-9B1239FC5362}" name="Table1_1" displayName="Table1_1" ref="A1:V127" tableType="queryTable" totalsRowShown="0" headerRowDxfId="132">
  <autoFilter ref="A1:V127" xr:uid="{12270AF9-82E0-484D-946B-9B1239FC5362}">
    <filterColumn colId="11">
      <filters blank="1"/>
    </filterColumn>
  </autoFilter>
  <tableColumns count="22">
    <tableColumn id="9" xr3:uid="{71AFE41E-3FB7-4DB6-9424-36BD48FBF042}" uniqueName="9" name="ID" queryTableFieldId="52" dataDxfId="131"/>
    <tableColumn id="1" xr3:uid="{FFD15054-DB2C-4B8C-8F92-745CE1864625}" uniqueName="1" name="أسم العميل" queryTableFieldId="1" dataDxfId="130"/>
    <tableColumn id="2" xr3:uid="{91AA3355-587E-4122-8DF2-99B4470FC70B}" uniqueName="2" name="نوع العميل" queryTableFieldId="2" dataDxfId="129"/>
    <tableColumn id="3" xr3:uid="{1F566F6B-666A-46E1-8BC9-8F8F11A9C48F}" uniqueName="3" name="العنوان" queryTableFieldId="3" dataDxfId="128"/>
    <tableColumn id="4" xr3:uid="{E480FB75-2DA6-4B22-B9DA-D081A59A26AB}" uniqueName="4" name="المحافظة" queryTableFieldId="4"/>
    <tableColumn id="5" xr3:uid="{9A54E7D9-56C6-48F4-A9F0-AE3B562C69B3}" uniqueName="5" name="منصة البيع " queryTableFieldId="5" dataDxfId="127"/>
    <tableColumn id="31" xr3:uid="{003FFA9D-F05D-410B-A960-6A3E5D807851}" uniqueName="31" name="طريقه الدفع" queryTableFieldId="27" dataDxfId="126"/>
    <tableColumn id="20" xr3:uid="{B0FE5974-45BC-410A-9EED-8EDB41FDFEF2}" uniqueName="20" name="صنف" queryTableFieldId="20" dataDxfId="125"/>
    <tableColumn id="21" xr3:uid="{AB826F9E-E7CF-4104-AE81-2BDCFD2CCC69}" uniqueName="21" name="اسم اصنف" queryTableFieldId="21"/>
    <tableColumn id="22" xr3:uid="{FC1E7DF9-DD55-468C-BA1D-BAD6F648E30D}" uniqueName="22" name="مقاس" queryTableFieldId="22"/>
    <tableColumn id="23" xr3:uid="{15F3C91D-CE00-4D5F-835E-D346FF2BAF36}" uniqueName="23" name="نوع الصنف.1" queryTableFieldId="23"/>
    <tableColumn id="24" xr3:uid="{ED7594B2-618A-4816-8470-4A5770FFBF7D}" uniqueName="24" name="لون معدن" queryTableFieldId="24"/>
    <tableColumn id="25" xr3:uid="{EDA3D284-AC57-453A-A729-654751D59835}" uniqueName="25" name="لون قماش" queryTableFieldId="25"/>
    <tableColumn id="13" xr3:uid="{2F00C31C-E156-4A1A-B103-B5E17D511B2E}" uniqueName="13" name="سعر البيع " queryTableFieldId="13" dataDxfId="124"/>
    <tableColumn id="15" xr3:uid="{61CDFA99-6CF2-45FE-8F5E-2868035CDF77}" uniqueName="15" name="ميعاد الطلب" queryTableFieldId="15" dataDxfId="123"/>
    <tableColumn id="16" xr3:uid="{FC249837-C429-441A-9430-8186374550BD}" uniqueName="16" name="ميعاد التسليم" queryTableFieldId="16" dataDxfId="122"/>
    <tableColumn id="17" xr3:uid="{F998243B-D1CC-419A-B6F3-83C63A233C61}" uniqueName="17" name="تاريخ التسليم" queryTableFieldId="17" dataDxfId="121"/>
    <tableColumn id="6" xr3:uid="{388E99E4-BBE1-4A66-8ABE-7FE5BD593802}" uniqueName="6" name="مدة التسليم" queryTableFieldId="49" dataDxfId="120">
      <calculatedColumnFormula>IF(OR(Q2="فشل التسليم",O2="",Q2=""),"",Q2-O2)</calculatedColumnFormula>
    </tableColumn>
    <tableColumn id="7" xr3:uid="{78884823-8670-4E0A-A138-048A3093F181}" uniqueName="7" name="Delay Days" queryTableFieldId="50" dataDxfId="119">
      <calculatedColumnFormula>IF(OR(Table1_1[[#This Row],[تاريخ التسليم]]="فشل التسليم",Table1_1[[#This Row],[ميعاد التسليم]]="",Table1_1[[#This Row],[تاريخ التسليم]]=""),"",Table1_1[[#This Row],[تاريخ التسليم]]-Table1_1[[#This Row],[ميعاد التسليم]])</calculatedColumnFormula>
    </tableColumn>
    <tableColumn id="8" xr3:uid="{58D32061-24A4-4778-B40D-8FC598E95175}" uniqueName="8" name="حالة الطلب" queryTableFieldId="51" dataDxfId="118">
      <calculatedColumnFormula>IF(Table1_1[[#This Row],[تاريخ التسليم]]="فشل التسليم","Failed",IF(Table1_1[[#This Row],[تاريخ التسليم]]&lt;Table1_1[[#This Row],[ميعاد التسليم]],"Early",IF(Table1_1[[#This Row],[تاريخ التسليم]]=Table1_1[[#This Row],[ميعاد التسليم]],"On Time","Late")))</calculatedColumnFormula>
    </tableColumn>
    <tableColumn id="18" xr3:uid="{7959B8F7-53E2-4283-91B8-9384E03C5566}" uniqueName="18" name="المسئول عن التسليم" queryTableFieldId="18" dataDxfId="117"/>
    <tableColumn id="19" xr3:uid="{69998E77-4422-43C7-AE1E-75ACA0793D93}" uniqueName="19" name="الحالة" queryTableFieldId="19" dataDxfId="116"/>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Custom 7">
      <a:dk1>
        <a:sysClr val="windowText" lastClr="000000"/>
      </a:dk1>
      <a:lt1>
        <a:sysClr val="window" lastClr="FFFFFF"/>
      </a:lt1>
      <a:dk2>
        <a:srgbClr val="44546A"/>
      </a:dk2>
      <a:lt2>
        <a:srgbClr val="E7E6E6"/>
      </a:lt2>
      <a:accent1>
        <a:srgbClr val="900000"/>
      </a:accent1>
      <a:accent2>
        <a:srgbClr val="FF2323"/>
      </a:accent2>
      <a:accent3>
        <a:srgbClr val="2F5496"/>
      </a:accent3>
      <a:accent4>
        <a:srgbClr val="8EAADB"/>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ميعاد_الطلب" xr10:uid="{6B11B5A2-E514-426B-A7A1-C6315F6B8C3F}" sourceName="ميعاد الطلب">
  <pivotTables>
    <pivotTable tabId="7" name="PivotTable13"/>
    <pivotTable tabId="7" name="PivotTable1"/>
    <pivotTable tabId="7" name="PivotTable10"/>
    <pivotTable tabId="7" name="PivotTable11"/>
    <pivotTable tabId="7" name="PivotTable12"/>
    <pivotTable tabId="7" name="PivotTable2"/>
    <pivotTable tabId="7" name="PivotTable3"/>
    <pivotTable tabId="7" name="PivotTable5"/>
    <pivotTable tabId="7" name="PivotTable6"/>
    <pivotTable tabId="7" name="PivotTable7"/>
    <pivotTable tabId="7" name="PivotTable8"/>
    <pivotTable tabId="7" name="PivotTable9"/>
  </pivotTables>
  <state minimalRefreshVersion="6" lastRefreshVersion="6" pivotCacheId="2144892037"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ميعاد الطلب" xr10:uid="{CE373AF2-74A4-4F8A-87A9-01C8EC1F9AA9}" cache="NativeTimeline_ميعاد_الطلب" caption="ميعاد الطلب" level="2" selectionLevel="2" scrollPosition="2024-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ميعاد الطلب 1" xr10:uid="{96361C18-4F61-4942-A555-5974731FDD8A}" cache="NativeTimeline_ميعاد_الطلب" caption="ميعاد الطلب" level="2" selectionLevel="2" scrollPosition="2024-09-13T00:00:00" style="TimeSlicerStyleLight1 2"/>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B4D1-1527-4802-8C38-B10D670D956B}">
  <dimension ref="A1:B119"/>
  <sheetViews>
    <sheetView workbookViewId="0">
      <selection activeCell="E11" sqref="E11"/>
    </sheetView>
  </sheetViews>
  <sheetFormatPr defaultRowHeight="14.4" x14ac:dyDescent="0.3"/>
  <cols>
    <col min="1" max="1" width="11.44140625" customWidth="1"/>
    <col min="2" max="2" width="9.21875" bestFit="1" customWidth="1"/>
  </cols>
  <sheetData>
    <row r="1" spans="1:2" x14ac:dyDescent="0.3">
      <c r="A1" s="2" t="s">
        <v>1</v>
      </c>
      <c r="B1" t="s">
        <v>221</v>
      </c>
    </row>
    <row r="2" spans="1:2" x14ac:dyDescent="0.3">
      <c r="A2" s="3" t="s">
        <v>10</v>
      </c>
      <c r="B2" t="s">
        <v>222</v>
      </c>
    </row>
    <row r="3" spans="1:2" x14ac:dyDescent="0.3">
      <c r="A3" s="4" t="s">
        <v>13</v>
      </c>
      <c r="B3" t="s">
        <v>223</v>
      </c>
    </row>
    <row r="4" spans="1:2" x14ac:dyDescent="0.3">
      <c r="A4" s="3" t="s">
        <v>15</v>
      </c>
      <c r="B4" t="s">
        <v>224</v>
      </c>
    </row>
    <row r="5" spans="1:2" x14ac:dyDescent="0.3">
      <c r="A5" s="4" t="s">
        <v>17</v>
      </c>
      <c r="B5" t="s">
        <v>225</v>
      </c>
    </row>
    <row r="6" spans="1:2" x14ac:dyDescent="0.3">
      <c r="A6" s="3" t="s">
        <v>15</v>
      </c>
      <c r="B6" t="s">
        <v>224</v>
      </c>
    </row>
    <row r="7" spans="1:2" x14ac:dyDescent="0.3">
      <c r="A7" s="4" t="s">
        <v>22</v>
      </c>
      <c r="B7" t="s">
        <v>226</v>
      </c>
    </row>
    <row r="8" spans="1:2" x14ac:dyDescent="0.3">
      <c r="A8" s="3" t="s">
        <v>26</v>
      </c>
      <c r="B8" t="s">
        <v>222</v>
      </c>
    </row>
    <row r="9" spans="1:2" x14ac:dyDescent="0.3">
      <c r="A9" s="4" t="s">
        <v>28</v>
      </c>
      <c r="B9" t="s">
        <v>226</v>
      </c>
    </row>
    <row r="10" spans="1:2" x14ac:dyDescent="0.3">
      <c r="A10" s="3" t="s">
        <v>28</v>
      </c>
      <c r="B10" t="s">
        <v>226</v>
      </c>
    </row>
    <row r="11" spans="1:2" x14ac:dyDescent="0.3">
      <c r="A11" s="4" t="s">
        <v>30</v>
      </c>
      <c r="B11" t="s">
        <v>226</v>
      </c>
    </row>
    <row r="12" spans="1:2" x14ac:dyDescent="0.3">
      <c r="A12" s="3" t="s">
        <v>30</v>
      </c>
      <c r="B12" t="s">
        <v>226</v>
      </c>
    </row>
    <row r="13" spans="1:2" x14ac:dyDescent="0.3">
      <c r="A13" s="4" t="s">
        <v>32</v>
      </c>
      <c r="B13" t="s">
        <v>226</v>
      </c>
    </row>
    <row r="14" spans="1:2" x14ac:dyDescent="0.3">
      <c r="A14" s="3" t="s">
        <v>26</v>
      </c>
      <c r="B14" t="s">
        <v>222</v>
      </c>
    </row>
    <row r="15" spans="1:2" x14ac:dyDescent="0.3">
      <c r="A15" s="4" t="s">
        <v>40</v>
      </c>
      <c r="B15" t="s">
        <v>226</v>
      </c>
    </row>
    <row r="16" spans="1:2" x14ac:dyDescent="0.3">
      <c r="A16" s="3" t="s">
        <v>35</v>
      </c>
      <c r="B16" t="s">
        <v>226</v>
      </c>
    </row>
    <row r="17" spans="1:2" x14ac:dyDescent="0.3">
      <c r="A17" s="4" t="s">
        <v>35</v>
      </c>
      <c r="B17" t="s">
        <v>226</v>
      </c>
    </row>
    <row r="18" spans="1:2" x14ac:dyDescent="0.3">
      <c r="A18" s="3" t="s">
        <v>38</v>
      </c>
      <c r="B18" t="s">
        <v>226</v>
      </c>
    </row>
    <row r="19" spans="1:2" x14ac:dyDescent="0.3">
      <c r="A19" s="4" t="s">
        <v>42</v>
      </c>
      <c r="B19" t="s">
        <v>226</v>
      </c>
    </row>
    <row r="20" spans="1:2" x14ac:dyDescent="0.3">
      <c r="A20" s="3" t="s">
        <v>28</v>
      </c>
      <c r="B20" t="s">
        <v>226</v>
      </c>
    </row>
    <row r="21" spans="1:2" x14ac:dyDescent="0.3">
      <c r="A21" s="4" t="s">
        <v>42</v>
      </c>
      <c r="B21" t="s">
        <v>226</v>
      </c>
    </row>
    <row r="22" spans="1:2" x14ac:dyDescent="0.3">
      <c r="A22" s="3" t="s">
        <v>42</v>
      </c>
      <c r="B22" t="s">
        <v>226</v>
      </c>
    </row>
    <row r="23" spans="1:2" x14ac:dyDescent="0.3">
      <c r="A23" s="4" t="s">
        <v>42</v>
      </c>
      <c r="B23" t="s">
        <v>226</v>
      </c>
    </row>
    <row r="24" spans="1:2" x14ac:dyDescent="0.3">
      <c r="A24" s="3" t="s">
        <v>66</v>
      </c>
      <c r="B24" t="s">
        <v>226</v>
      </c>
    </row>
    <row r="25" spans="1:2" x14ac:dyDescent="0.3">
      <c r="A25" s="4" t="s">
        <v>26</v>
      </c>
      <c r="B25" t="s">
        <v>222</v>
      </c>
    </row>
    <row r="26" spans="1:2" x14ac:dyDescent="0.3">
      <c r="A26" s="3" t="s">
        <v>53</v>
      </c>
      <c r="B26" t="s">
        <v>227</v>
      </c>
    </row>
    <row r="27" spans="1:2" x14ac:dyDescent="0.3">
      <c r="A27" s="4" t="s">
        <v>53</v>
      </c>
      <c r="B27" t="s">
        <v>227</v>
      </c>
    </row>
    <row r="28" spans="1:2" x14ac:dyDescent="0.3">
      <c r="A28" s="3" t="s">
        <v>53</v>
      </c>
      <c r="B28" t="s">
        <v>227</v>
      </c>
    </row>
    <row r="29" spans="1:2" x14ac:dyDescent="0.3">
      <c r="A29" s="4" t="s">
        <v>53</v>
      </c>
      <c r="B29" t="s">
        <v>227</v>
      </c>
    </row>
    <row r="30" spans="1:2" x14ac:dyDescent="0.3">
      <c r="A30" s="3" t="s">
        <v>91</v>
      </c>
      <c r="B30" t="s">
        <v>135</v>
      </c>
    </row>
    <row r="31" spans="1:2" x14ac:dyDescent="0.3">
      <c r="A31" s="4" t="s">
        <v>93</v>
      </c>
      <c r="B31" t="s">
        <v>223</v>
      </c>
    </row>
    <row r="32" spans="1:2" x14ac:dyDescent="0.3">
      <c r="A32" s="3" t="s">
        <v>26</v>
      </c>
      <c r="B32" t="s">
        <v>222</v>
      </c>
    </row>
    <row r="33" spans="1:2" x14ac:dyDescent="0.3">
      <c r="A33" s="4" t="s">
        <v>45</v>
      </c>
      <c r="B33" t="s">
        <v>226</v>
      </c>
    </row>
    <row r="34" spans="1:2" x14ac:dyDescent="0.3">
      <c r="A34" s="3" t="s">
        <v>51</v>
      </c>
      <c r="B34" t="s">
        <v>222</v>
      </c>
    </row>
    <row r="35" spans="1:2" x14ac:dyDescent="0.3">
      <c r="A35" s="4" t="s">
        <v>42</v>
      </c>
      <c r="B35" t="s">
        <v>226</v>
      </c>
    </row>
    <row r="36" spans="1:2" x14ac:dyDescent="0.3">
      <c r="A36" s="3" t="s">
        <v>42</v>
      </c>
      <c r="B36" t="s">
        <v>226</v>
      </c>
    </row>
    <row r="37" spans="1:2" x14ac:dyDescent="0.3">
      <c r="A37" s="4" t="s">
        <v>26</v>
      </c>
      <c r="B37" t="s">
        <v>222</v>
      </c>
    </row>
    <row r="38" spans="1:2" x14ac:dyDescent="0.3">
      <c r="A38" s="3" t="s">
        <v>47</v>
      </c>
      <c r="B38" t="s">
        <v>226</v>
      </c>
    </row>
    <row r="39" spans="1:2" x14ac:dyDescent="0.3">
      <c r="A39" s="4" t="s">
        <v>49</v>
      </c>
      <c r="B39" t="s">
        <v>222</v>
      </c>
    </row>
    <row r="40" spans="1:2" x14ac:dyDescent="0.3">
      <c r="A40" s="3" t="s">
        <v>49</v>
      </c>
      <c r="B40" t="s">
        <v>222</v>
      </c>
    </row>
    <row r="41" spans="1:2" x14ac:dyDescent="0.3">
      <c r="A41" s="4" t="s">
        <v>55</v>
      </c>
      <c r="B41" t="s">
        <v>226</v>
      </c>
    </row>
    <row r="42" spans="1:2" x14ac:dyDescent="0.3">
      <c r="A42" s="3" t="s">
        <v>17</v>
      </c>
      <c r="B42" t="s">
        <v>225</v>
      </c>
    </row>
    <row r="43" spans="1:2" x14ac:dyDescent="0.3">
      <c r="A43" s="4" t="s">
        <v>58</v>
      </c>
      <c r="B43" t="s">
        <v>135</v>
      </c>
    </row>
    <row r="44" spans="1:2" x14ac:dyDescent="0.3">
      <c r="A44" s="3" t="s">
        <v>26</v>
      </c>
      <c r="B44" t="s">
        <v>222</v>
      </c>
    </row>
    <row r="45" spans="1:2" x14ac:dyDescent="0.3">
      <c r="A45" s="4" t="s">
        <v>63</v>
      </c>
      <c r="B45" t="s">
        <v>226</v>
      </c>
    </row>
    <row r="46" spans="1:2" x14ac:dyDescent="0.3">
      <c r="A46" s="3" t="s">
        <v>26</v>
      </c>
      <c r="B46" t="s">
        <v>222</v>
      </c>
    </row>
    <row r="47" spans="1:2" x14ac:dyDescent="0.3">
      <c r="A47" s="4" t="s">
        <v>66</v>
      </c>
      <c r="B47" t="s">
        <v>226</v>
      </c>
    </row>
    <row r="48" spans="1:2" x14ac:dyDescent="0.3">
      <c r="A48" s="3" t="s">
        <v>88</v>
      </c>
      <c r="B48" t="s">
        <v>222</v>
      </c>
    </row>
    <row r="49" spans="1:2" x14ac:dyDescent="0.3">
      <c r="A49" s="4" t="s">
        <v>40</v>
      </c>
      <c r="B49" t="s">
        <v>226</v>
      </c>
    </row>
    <row r="50" spans="1:2" x14ac:dyDescent="0.3">
      <c r="A50" s="3" t="s">
        <v>26</v>
      </c>
      <c r="B50" t="s">
        <v>222</v>
      </c>
    </row>
    <row r="51" spans="1:2" x14ac:dyDescent="0.3">
      <c r="A51" s="4" t="s">
        <v>77</v>
      </c>
      <c r="B51" t="s">
        <v>222</v>
      </c>
    </row>
    <row r="52" spans="1:2" x14ac:dyDescent="0.3">
      <c r="A52" s="3" t="s">
        <v>55</v>
      </c>
      <c r="B52" t="s">
        <v>226</v>
      </c>
    </row>
    <row r="53" spans="1:2" x14ac:dyDescent="0.3">
      <c r="A53" s="4" t="s">
        <v>81</v>
      </c>
      <c r="B53" t="s">
        <v>226</v>
      </c>
    </row>
    <row r="54" spans="1:2" x14ac:dyDescent="0.3">
      <c r="A54" s="3" t="s">
        <v>81</v>
      </c>
      <c r="B54" t="s">
        <v>226</v>
      </c>
    </row>
    <row r="55" spans="1:2" x14ac:dyDescent="0.3">
      <c r="A55" s="4" t="s">
        <v>42</v>
      </c>
      <c r="B55" t="s">
        <v>226</v>
      </c>
    </row>
    <row r="56" spans="1:2" x14ac:dyDescent="0.3">
      <c r="A56" s="3" t="s">
        <v>42</v>
      </c>
      <c r="B56" t="s">
        <v>226</v>
      </c>
    </row>
    <row r="57" spans="1:2" x14ac:dyDescent="0.3">
      <c r="A57" s="4" t="s">
        <v>85</v>
      </c>
      <c r="B57" t="s">
        <v>227</v>
      </c>
    </row>
    <row r="58" spans="1:2" x14ac:dyDescent="0.3">
      <c r="A58" s="3" t="s">
        <v>70</v>
      </c>
      <c r="B58" t="s">
        <v>228</v>
      </c>
    </row>
    <row r="59" spans="1:2" x14ac:dyDescent="0.3">
      <c r="A59" s="4" t="s">
        <v>73</v>
      </c>
      <c r="B59" t="s">
        <v>225</v>
      </c>
    </row>
    <row r="60" spans="1:2" x14ac:dyDescent="0.3">
      <c r="A60" s="3" t="s">
        <v>55</v>
      </c>
      <c r="B60" t="s">
        <v>226</v>
      </c>
    </row>
    <row r="61" spans="1:2" x14ac:dyDescent="0.3">
      <c r="A61" s="4" t="s">
        <v>42</v>
      </c>
      <c r="B61" t="s">
        <v>226</v>
      </c>
    </row>
    <row r="62" spans="1:2" x14ac:dyDescent="0.3">
      <c r="A62" s="3" t="s">
        <v>40</v>
      </c>
      <c r="B62" t="s">
        <v>226</v>
      </c>
    </row>
    <row r="63" spans="1:2" x14ac:dyDescent="0.3">
      <c r="A63" s="4" t="s">
        <v>117</v>
      </c>
      <c r="B63" t="s">
        <v>226</v>
      </c>
    </row>
    <row r="64" spans="1:2" x14ac:dyDescent="0.3">
      <c r="A64" s="3" t="s">
        <v>117</v>
      </c>
      <c r="B64" t="s">
        <v>226</v>
      </c>
    </row>
    <row r="65" spans="1:2" x14ac:dyDescent="0.3">
      <c r="A65" s="4" t="s">
        <v>118</v>
      </c>
      <c r="B65" t="s">
        <v>226</v>
      </c>
    </row>
    <row r="66" spans="1:2" x14ac:dyDescent="0.3">
      <c r="A66" s="3" t="s">
        <v>91</v>
      </c>
      <c r="B66" t="s">
        <v>135</v>
      </c>
    </row>
    <row r="67" spans="1:2" x14ac:dyDescent="0.3">
      <c r="A67" s="4" t="s">
        <v>127</v>
      </c>
      <c r="B67" t="s">
        <v>227</v>
      </c>
    </row>
    <row r="68" spans="1:2" x14ac:dyDescent="0.3">
      <c r="A68" s="3" t="s">
        <v>28</v>
      </c>
      <c r="B68" t="s">
        <v>226</v>
      </c>
    </row>
    <row r="69" spans="1:2" x14ac:dyDescent="0.3">
      <c r="A69" s="4" t="s">
        <v>28</v>
      </c>
      <c r="B69" t="s">
        <v>226</v>
      </c>
    </row>
    <row r="70" spans="1:2" x14ac:dyDescent="0.3">
      <c r="A70" s="3" t="s">
        <v>28</v>
      </c>
      <c r="B70" t="s">
        <v>226</v>
      </c>
    </row>
    <row r="71" spans="1:2" x14ac:dyDescent="0.3">
      <c r="A71" s="4" t="s">
        <v>131</v>
      </c>
      <c r="B71" t="s">
        <v>222</v>
      </c>
    </row>
    <row r="72" spans="1:2" x14ac:dyDescent="0.3">
      <c r="A72" s="3" t="s">
        <v>149</v>
      </c>
      <c r="B72" t="s">
        <v>226</v>
      </c>
    </row>
    <row r="73" spans="1:2" x14ac:dyDescent="0.3">
      <c r="A73" s="4" t="s">
        <v>127</v>
      </c>
      <c r="B73" t="s">
        <v>227</v>
      </c>
    </row>
    <row r="74" spans="1:2" x14ac:dyDescent="0.3">
      <c r="A74" s="3" t="s">
        <v>134</v>
      </c>
      <c r="B74" t="s">
        <v>135</v>
      </c>
    </row>
    <row r="75" spans="1:2" x14ac:dyDescent="0.3">
      <c r="A75" s="4" t="s">
        <v>134</v>
      </c>
      <c r="B75" t="s">
        <v>135</v>
      </c>
    </row>
    <row r="76" spans="1:2" x14ac:dyDescent="0.3">
      <c r="A76" s="3" t="s">
        <v>134</v>
      </c>
      <c r="B76" t="s">
        <v>135</v>
      </c>
    </row>
    <row r="77" spans="1:2" x14ac:dyDescent="0.3">
      <c r="A77" s="4" t="s">
        <v>134</v>
      </c>
      <c r="B77" t="s">
        <v>135</v>
      </c>
    </row>
    <row r="78" spans="1:2" x14ac:dyDescent="0.3">
      <c r="A78" s="3" t="s">
        <v>144</v>
      </c>
      <c r="B78" t="s">
        <v>226</v>
      </c>
    </row>
    <row r="79" spans="1:2" x14ac:dyDescent="0.3">
      <c r="A79" s="4" t="s">
        <v>145</v>
      </c>
      <c r="B79" t="s">
        <v>229</v>
      </c>
    </row>
    <row r="80" spans="1:2" x14ac:dyDescent="0.3">
      <c r="A80" s="3" t="s">
        <v>148</v>
      </c>
      <c r="B80" t="s">
        <v>222</v>
      </c>
    </row>
    <row r="81" spans="1:2" x14ac:dyDescent="0.3">
      <c r="A81" s="4" t="s">
        <v>63</v>
      </c>
      <c r="B81" t="s">
        <v>226</v>
      </c>
    </row>
    <row r="82" spans="1:2" x14ac:dyDescent="0.3">
      <c r="A82" s="3" t="s">
        <v>32</v>
      </c>
      <c r="B82" t="s">
        <v>226</v>
      </c>
    </row>
    <row r="83" spans="1:2" x14ac:dyDescent="0.3">
      <c r="A83" s="4" t="s">
        <v>153</v>
      </c>
      <c r="B83" t="s">
        <v>223</v>
      </c>
    </row>
    <row r="84" spans="1:2" x14ac:dyDescent="0.3">
      <c r="A84" s="3" t="s">
        <v>156</v>
      </c>
      <c r="B84" t="s">
        <v>229</v>
      </c>
    </row>
    <row r="85" spans="1:2" x14ac:dyDescent="0.3">
      <c r="A85" s="4" t="s">
        <v>131</v>
      </c>
      <c r="B85" t="s">
        <v>222</v>
      </c>
    </row>
    <row r="86" spans="1:2" x14ac:dyDescent="0.3">
      <c r="A86" s="3" t="s">
        <v>131</v>
      </c>
      <c r="B86" t="s">
        <v>222</v>
      </c>
    </row>
    <row r="87" spans="1:2" x14ac:dyDescent="0.3">
      <c r="A87" s="4" t="s">
        <v>162</v>
      </c>
      <c r="B87" t="s">
        <v>226</v>
      </c>
    </row>
    <row r="88" spans="1:2" x14ac:dyDescent="0.3">
      <c r="A88" s="3" t="s">
        <v>165</v>
      </c>
      <c r="B88" t="s">
        <v>222</v>
      </c>
    </row>
    <row r="89" spans="1:2" x14ac:dyDescent="0.3">
      <c r="A89" s="4" t="s">
        <v>166</v>
      </c>
      <c r="B89" t="s">
        <v>222</v>
      </c>
    </row>
    <row r="90" spans="1:2" x14ac:dyDescent="0.3">
      <c r="A90" s="3" t="s">
        <v>166</v>
      </c>
      <c r="B90" t="s">
        <v>222</v>
      </c>
    </row>
    <row r="91" spans="1:2" x14ac:dyDescent="0.3">
      <c r="A91" s="4" t="s">
        <v>66</v>
      </c>
      <c r="B91" t="s">
        <v>226</v>
      </c>
    </row>
    <row r="92" spans="1:2" x14ac:dyDescent="0.3">
      <c r="A92" s="3" t="s">
        <v>66</v>
      </c>
      <c r="B92" t="s">
        <v>226</v>
      </c>
    </row>
    <row r="93" spans="1:2" x14ac:dyDescent="0.3">
      <c r="A93" s="4" t="s">
        <v>174</v>
      </c>
      <c r="B93" t="s">
        <v>226</v>
      </c>
    </row>
    <row r="94" spans="1:2" x14ac:dyDescent="0.3">
      <c r="A94" s="3" t="s">
        <v>145</v>
      </c>
      <c r="B94" t="s">
        <v>229</v>
      </c>
    </row>
    <row r="95" spans="1:2" x14ac:dyDescent="0.3">
      <c r="A95" s="4" t="s">
        <v>22</v>
      </c>
      <c r="B95" t="s">
        <v>226</v>
      </c>
    </row>
    <row r="96" spans="1:2" x14ac:dyDescent="0.3">
      <c r="A96" s="3" t="s">
        <v>127</v>
      </c>
      <c r="B96" t="s">
        <v>227</v>
      </c>
    </row>
    <row r="97" spans="1:2" x14ac:dyDescent="0.3">
      <c r="A97" s="4" t="s">
        <v>66</v>
      </c>
      <c r="B97" t="s">
        <v>226</v>
      </c>
    </row>
    <row r="98" spans="1:2" x14ac:dyDescent="0.3">
      <c r="A98" s="3" t="s">
        <v>22</v>
      </c>
      <c r="B98" t="s">
        <v>226</v>
      </c>
    </row>
    <row r="99" spans="1:2" x14ac:dyDescent="0.3">
      <c r="A99" s="4" t="s">
        <v>127</v>
      </c>
      <c r="B99" t="s">
        <v>227</v>
      </c>
    </row>
    <row r="100" spans="1:2" x14ac:dyDescent="0.3">
      <c r="A100" s="3" t="s">
        <v>178</v>
      </c>
      <c r="B100" t="s">
        <v>229</v>
      </c>
    </row>
    <row r="101" spans="1:2" x14ac:dyDescent="0.3">
      <c r="A101" s="4" t="s">
        <v>26</v>
      </c>
      <c r="B101" t="s">
        <v>222</v>
      </c>
    </row>
    <row r="102" spans="1:2" x14ac:dyDescent="0.3">
      <c r="A102" s="3" t="s">
        <v>184</v>
      </c>
      <c r="B102" t="s">
        <v>222</v>
      </c>
    </row>
    <row r="103" spans="1:2" x14ac:dyDescent="0.3">
      <c r="A103" s="4" t="s">
        <v>30</v>
      </c>
      <c r="B103" t="s">
        <v>226</v>
      </c>
    </row>
    <row r="104" spans="1:2" x14ac:dyDescent="0.3">
      <c r="A104" s="3" t="s">
        <v>32</v>
      </c>
      <c r="B104" t="s">
        <v>226</v>
      </c>
    </row>
    <row r="105" spans="1:2" x14ac:dyDescent="0.3">
      <c r="A105" s="4" t="s">
        <v>190</v>
      </c>
      <c r="B105" t="s">
        <v>226</v>
      </c>
    </row>
    <row r="106" spans="1:2" x14ac:dyDescent="0.3">
      <c r="A106" s="3" t="s">
        <v>30</v>
      </c>
      <c r="B106" t="s">
        <v>226</v>
      </c>
    </row>
    <row r="107" spans="1:2" x14ac:dyDescent="0.3">
      <c r="A107" s="4" t="s">
        <v>195</v>
      </c>
      <c r="B107" t="s">
        <v>223</v>
      </c>
    </row>
    <row r="108" spans="1:2" x14ac:dyDescent="0.3">
      <c r="A108" s="3" t="s">
        <v>38</v>
      </c>
      <c r="B108" t="s">
        <v>226</v>
      </c>
    </row>
    <row r="109" spans="1:2" x14ac:dyDescent="0.3">
      <c r="A109" s="4" t="s">
        <v>202</v>
      </c>
      <c r="B109" t="s">
        <v>223</v>
      </c>
    </row>
    <row r="110" spans="1:2" x14ac:dyDescent="0.3">
      <c r="A110" s="3" t="s">
        <v>42</v>
      </c>
      <c r="B110" t="s">
        <v>226</v>
      </c>
    </row>
    <row r="111" spans="1:2" x14ac:dyDescent="0.3">
      <c r="A111" s="4" t="s">
        <v>42</v>
      </c>
      <c r="B111" t="s">
        <v>226</v>
      </c>
    </row>
    <row r="112" spans="1:2" x14ac:dyDescent="0.3">
      <c r="A112" s="3" t="s">
        <v>91</v>
      </c>
      <c r="B112" t="s">
        <v>135</v>
      </c>
    </row>
    <row r="113" spans="1:2" x14ac:dyDescent="0.3">
      <c r="A113" s="4" t="s">
        <v>212</v>
      </c>
      <c r="B113" t="s">
        <v>226</v>
      </c>
    </row>
    <row r="114" spans="1:2" x14ac:dyDescent="0.3">
      <c r="A114" s="3" t="s">
        <v>127</v>
      </c>
      <c r="B114" t="s">
        <v>227</v>
      </c>
    </row>
    <row r="115" spans="1:2" x14ac:dyDescent="0.3">
      <c r="A115" s="4" t="s">
        <v>85</v>
      </c>
      <c r="B115" t="s">
        <v>227</v>
      </c>
    </row>
    <row r="116" spans="1:2" x14ac:dyDescent="0.3">
      <c r="A116" s="3" t="s">
        <v>215</v>
      </c>
      <c r="B116" t="s">
        <v>226</v>
      </c>
    </row>
    <row r="117" spans="1:2" x14ac:dyDescent="0.3">
      <c r="A117" s="4" t="s">
        <v>42</v>
      </c>
      <c r="B117" t="s">
        <v>226</v>
      </c>
    </row>
    <row r="118" spans="1:2" x14ac:dyDescent="0.3">
      <c r="A118" s="3" t="s">
        <v>184</v>
      </c>
      <c r="B118" t="s">
        <v>222</v>
      </c>
    </row>
    <row r="119" spans="1:2" x14ac:dyDescent="0.3">
      <c r="A119" s="4" t="s">
        <v>145</v>
      </c>
      <c r="B119"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79C47-9427-436C-A72F-BC4F35CACE79}">
  <dimension ref="A1:V127"/>
  <sheetViews>
    <sheetView tabSelected="1" topLeftCell="G1" workbookViewId="0">
      <selection activeCell="L1" sqref="L1:L1048576"/>
    </sheetView>
  </sheetViews>
  <sheetFormatPr defaultRowHeight="14.4" x14ac:dyDescent="0.3"/>
  <cols>
    <col min="1" max="1" width="15.44140625" bestFit="1" customWidth="1"/>
    <col min="2" max="2" width="15.44140625" customWidth="1"/>
    <col min="3" max="3" width="12.6640625" bestFit="1" customWidth="1"/>
    <col min="4" max="4" width="30" bestFit="1" customWidth="1"/>
    <col min="5" max="5" width="11.88671875" bestFit="1" customWidth="1"/>
    <col min="6" max="6" width="13.33203125" bestFit="1" customWidth="1"/>
    <col min="7" max="7" width="13.77734375" style="9" bestFit="1" customWidth="1"/>
    <col min="8" max="8" width="9.5546875" style="1" bestFit="1" customWidth="1"/>
    <col min="9" max="9" width="13.109375" bestFit="1" customWidth="1"/>
    <col min="10" max="10" width="9.44140625" bestFit="1" customWidth="1"/>
    <col min="11" max="11" width="14.6640625" bestFit="1" customWidth="1"/>
    <col min="12" max="12" width="12.109375" bestFit="1" customWidth="1"/>
    <col min="13" max="13" width="12.44140625" bestFit="1" customWidth="1"/>
    <col min="14" max="14" width="12.6640625" bestFit="1" customWidth="1"/>
    <col min="15" max="15" width="14" style="11" bestFit="1" customWidth="1"/>
    <col min="16" max="16" width="14.6640625" style="10" bestFit="1" customWidth="1"/>
    <col min="17" max="17" width="22.77734375" style="7" bestFit="1" customWidth="1"/>
    <col min="18" max="20" width="22.77734375" style="13" customWidth="1"/>
    <col min="21" max="21" width="26.77734375" bestFit="1" customWidth="1"/>
    <col min="22" max="22" width="9.33203125" bestFit="1" customWidth="1"/>
  </cols>
  <sheetData>
    <row r="1" spans="1:22" s="1" customFormat="1" x14ac:dyDescent="0.3">
      <c r="A1" s="16" t="s">
        <v>252</v>
      </c>
      <c r="B1" s="1" t="s">
        <v>0</v>
      </c>
      <c r="C1" s="1" t="s">
        <v>220</v>
      </c>
      <c r="D1" s="1" t="s">
        <v>1</v>
      </c>
      <c r="E1" s="1" t="s">
        <v>221</v>
      </c>
      <c r="F1" s="1" t="s">
        <v>4</v>
      </c>
      <c r="G1" s="8" t="s">
        <v>242</v>
      </c>
      <c r="H1" s="1" t="s">
        <v>232</v>
      </c>
      <c r="I1" s="1" t="s">
        <v>233</v>
      </c>
      <c r="J1" s="1" t="s">
        <v>234</v>
      </c>
      <c r="K1" s="1" t="s">
        <v>235</v>
      </c>
      <c r="L1" s="1" t="s">
        <v>236</v>
      </c>
      <c r="M1" s="1" t="s">
        <v>237</v>
      </c>
      <c r="N1" s="8" t="s">
        <v>6</v>
      </c>
      <c r="O1" s="12" t="s">
        <v>8</v>
      </c>
      <c r="P1" s="12" t="s">
        <v>7</v>
      </c>
      <c r="Q1" s="6" t="s">
        <v>2</v>
      </c>
      <c r="R1" s="14" t="s">
        <v>244</v>
      </c>
      <c r="S1" s="14" t="s">
        <v>245</v>
      </c>
      <c r="T1" s="14" t="s">
        <v>246</v>
      </c>
      <c r="U1" s="1" t="s">
        <v>3</v>
      </c>
      <c r="V1" s="1" t="s">
        <v>122</v>
      </c>
    </row>
    <row r="2" spans="1:22" ht="15" hidden="1" customHeight="1" x14ac:dyDescent="0.3">
      <c r="A2" s="16">
        <v>1</v>
      </c>
      <c r="B2" t="s">
        <v>9</v>
      </c>
      <c r="C2" t="s">
        <v>230</v>
      </c>
      <c r="D2" t="s">
        <v>10</v>
      </c>
      <c r="E2" t="s">
        <v>222</v>
      </c>
      <c r="F2" t="s">
        <v>5</v>
      </c>
      <c r="G2" s="9" t="s">
        <v>11</v>
      </c>
      <c r="H2" t="s">
        <v>94</v>
      </c>
      <c r="K2" t="s">
        <v>95</v>
      </c>
      <c r="L2" t="s">
        <v>107</v>
      </c>
      <c r="M2" t="s">
        <v>107</v>
      </c>
      <c r="N2" s="9">
        <v>10160</v>
      </c>
      <c r="O2" s="11">
        <v>45500</v>
      </c>
      <c r="P2" s="10">
        <v>45514</v>
      </c>
      <c r="Q2" s="10">
        <v>45514</v>
      </c>
      <c r="R2" s="13">
        <f>IF(OR(Q2="فشل التسليم",O2="",Q2=""),"",Q2-O2)</f>
        <v>14</v>
      </c>
      <c r="S2" s="13">
        <f>IF(OR(Table1_1[[#This Row],[تاريخ التسليم]]="فشل التسليم",Table1_1[[#This Row],[ميعاد التسليم]]="",Table1_1[[#This Row],[تاريخ التسليم]]=""),"",Table1_1[[#This Row],[تاريخ التسليم]]-Table1_1[[#This Row],[ميعاد التسليم]])</f>
        <v>0</v>
      </c>
      <c r="T2" s="13" t="str">
        <f>IF(Table1_1[[#This Row],[تاريخ التسليم]]="فشل التسليم","Failed",IF(Table1_1[[#This Row],[تاريخ التسليم]]&lt;Table1_1[[#This Row],[ميعاد التسليم]],"Early",IF(Table1_1[[#This Row],[تاريخ التسليم]]=Table1_1[[#This Row],[ميعاد التسليم]],"On Time","Late")))</f>
        <v>On Time</v>
      </c>
      <c r="U2" t="s">
        <v>18</v>
      </c>
      <c r="V2" t="s">
        <v>125</v>
      </c>
    </row>
    <row r="3" spans="1:22" hidden="1" x14ac:dyDescent="0.3">
      <c r="A3" s="16">
        <v>2</v>
      </c>
      <c r="B3" t="s">
        <v>12</v>
      </c>
      <c r="C3" t="s">
        <v>230</v>
      </c>
      <c r="D3" t="s">
        <v>13</v>
      </c>
      <c r="E3" t="s">
        <v>223</v>
      </c>
      <c r="F3" t="s">
        <v>5</v>
      </c>
      <c r="G3" s="9" t="s">
        <v>241</v>
      </c>
      <c r="H3" t="s">
        <v>94</v>
      </c>
      <c r="K3" t="s">
        <v>95</v>
      </c>
      <c r="L3" t="s">
        <v>108</v>
      </c>
      <c r="M3" t="s">
        <v>108</v>
      </c>
      <c r="N3" s="9">
        <v>10160</v>
      </c>
      <c r="O3" s="11">
        <v>45501</v>
      </c>
      <c r="P3" s="10">
        <v>45515</v>
      </c>
      <c r="Q3" s="10">
        <v>45515</v>
      </c>
      <c r="R3" s="13">
        <f t="shared" ref="R3:R33" si="0">IF(OR(Q3="فشل التسليم",O3="",Q3=""),"",Q3-O3)</f>
        <v>14</v>
      </c>
      <c r="S3" s="13">
        <f>IF(OR(Table1_1[[#This Row],[تاريخ التسليم]]="فشل التسليم",Table1_1[[#This Row],[ميعاد التسليم]]="",Table1_1[[#This Row],[تاريخ التسليم]]=""),"",Table1_1[[#This Row],[تاريخ التسليم]]-Table1_1[[#This Row],[ميعاد التسليم]])</f>
        <v>0</v>
      </c>
      <c r="T3" s="13" t="str">
        <f>IF(Table1_1[[#This Row],[تاريخ التسليم]]="فشل التسليم","Failed",IF(Table1_1[[#This Row],[تاريخ التسليم]]&lt;Table1_1[[#This Row],[ميعاد التسليم]],"Early",IF(Table1_1[[#This Row],[تاريخ التسليم]]=Table1_1[[#This Row],[ميعاد التسليم]],"On Time","Late")))</f>
        <v>On Time</v>
      </c>
      <c r="U3" t="s">
        <v>18</v>
      </c>
      <c r="V3" t="s">
        <v>125</v>
      </c>
    </row>
    <row r="4" spans="1:22" hidden="1" x14ac:dyDescent="0.3">
      <c r="A4" s="16">
        <v>3</v>
      </c>
      <c r="B4" t="s">
        <v>14</v>
      </c>
      <c r="C4" t="s">
        <v>230</v>
      </c>
      <c r="D4" t="s">
        <v>15</v>
      </c>
      <c r="E4" t="s">
        <v>224</v>
      </c>
      <c r="F4" t="s">
        <v>5</v>
      </c>
      <c r="G4" s="9" t="s">
        <v>241</v>
      </c>
      <c r="H4" t="s">
        <v>94</v>
      </c>
      <c r="I4" t="s">
        <v>99</v>
      </c>
      <c r="J4">
        <v>90</v>
      </c>
      <c r="K4" t="s">
        <v>106</v>
      </c>
      <c r="L4" t="s">
        <v>110</v>
      </c>
      <c r="N4" s="9">
        <v>11455</v>
      </c>
      <c r="O4" s="11">
        <v>45500</v>
      </c>
      <c r="Q4" s="10" t="s">
        <v>123</v>
      </c>
      <c r="R4" s="13" t="str">
        <f t="shared" si="0"/>
        <v/>
      </c>
      <c r="S4" s="13" t="str">
        <f>IF(OR(Table1_1[[#This Row],[تاريخ التسليم]]="فشل التسليم",Table1_1[[#This Row],[ميعاد التسليم]]="",Table1_1[[#This Row],[تاريخ التسليم]]=""),"",Table1_1[[#This Row],[تاريخ التسليم]]-Table1_1[[#This Row],[ميعاد التسليم]])</f>
        <v/>
      </c>
      <c r="T4"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4" t="s">
        <v>24</v>
      </c>
      <c r="V4" t="s">
        <v>180</v>
      </c>
    </row>
    <row r="5" spans="1:22" x14ac:dyDescent="0.3">
      <c r="A5" s="16">
        <v>4</v>
      </c>
      <c r="B5" t="s">
        <v>16</v>
      </c>
      <c r="C5" t="s">
        <v>230</v>
      </c>
      <c r="D5" t="s">
        <v>17</v>
      </c>
      <c r="E5" t="s">
        <v>225</v>
      </c>
      <c r="F5" t="s">
        <v>5</v>
      </c>
      <c r="G5" s="9" t="s">
        <v>11</v>
      </c>
      <c r="H5" s="5" t="s">
        <v>204</v>
      </c>
      <c r="I5" t="s">
        <v>243</v>
      </c>
      <c r="K5" t="s">
        <v>238</v>
      </c>
      <c r="N5" s="9">
        <v>8642</v>
      </c>
      <c r="O5" s="11">
        <v>45529</v>
      </c>
      <c r="P5" s="10">
        <v>45542</v>
      </c>
      <c r="Q5" s="10">
        <v>45531</v>
      </c>
      <c r="R5" s="13">
        <f t="shared" si="0"/>
        <v>2</v>
      </c>
      <c r="S5" s="13">
        <f>IF(OR(Table1_1[[#This Row],[تاريخ التسليم]]="فشل التسليم",Table1_1[[#This Row],[ميعاد التسليم]]="",Table1_1[[#This Row],[تاريخ التسليم]]=""),"",Table1_1[[#This Row],[تاريخ التسليم]]-Table1_1[[#This Row],[ميعاد التسليم]])</f>
        <v>-11</v>
      </c>
      <c r="T5"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5" t="s">
        <v>18</v>
      </c>
      <c r="V5" t="s">
        <v>125</v>
      </c>
    </row>
    <row r="6" spans="1:22" hidden="1" x14ac:dyDescent="0.3">
      <c r="A6" s="16">
        <v>5</v>
      </c>
      <c r="B6" t="s">
        <v>19</v>
      </c>
      <c r="C6" t="s">
        <v>230</v>
      </c>
      <c r="D6" t="s">
        <v>15</v>
      </c>
      <c r="E6" t="s">
        <v>224</v>
      </c>
      <c r="F6" t="s">
        <v>5</v>
      </c>
      <c r="G6" s="9" t="s">
        <v>241</v>
      </c>
      <c r="H6" t="s">
        <v>94</v>
      </c>
      <c r="I6" t="s">
        <v>96</v>
      </c>
      <c r="J6">
        <v>100</v>
      </c>
      <c r="K6" t="s">
        <v>106</v>
      </c>
      <c r="L6" t="s">
        <v>112</v>
      </c>
      <c r="N6" s="9">
        <v>12833</v>
      </c>
      <c r="O6" s="11">
        <v>45520</v>
      </c>
      <c r="P6" s="10">
        <v>45535</v>
      </c>
      <c r="Q6" s="10" t="s">
        <v>123</v>
      </c>
      <c r="R6" s="13" t="str">
        <f t="shared" si="0"/>
        <v/>
      </c>
      <c r="S6" s="13" t="str">
        <f>IF(OR(Table1_1[[#This Row],[تاريخ التسليم]]="فشل التسليم",Table1_1[[#This Row],[ميعاد التسليم]]="",Table1_1[[#This Row],[تاريخ التسليم]]=""),"",Table1_1[[#This Row],[تاريخ التسليم]]-Table1_1[[#This Row],[ميعاد التسليم]])</f>
        <v/>
      </c>
      <c r="T6"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6" t="s">
        <v>24</v>
      </c>
      <c r="V6" t="s">
        <v>180</v>
      </c>
    </row>
    <row r="7" spans="1:22" x14ac:dyDescent="0.3">
      <c r="A7" s="16">
        <v>6</v>
      </c>
      <c r="B7" t="s">
        <v>20</v>
      </c>
      <c r="C7" t="s">
        <v>231</v>
      </c>
      <c r="E7" t="s">
        <v>222</v>
      </c>
      <c r="F7" t="s">
        <v>33</v>
      </c>
      <c r="G7" s="9" t="s">
        <v>11</v>
      </c>
      <c r="H7" t="s">
        <v>103</v>
      </c>
      <c r="K7" t="s">
        <v>105</v>
      </c>
      <c r="M7" t="s">
        <v>112</v>
      </c>
      <c r="N7" s="9">
        <v>14550</v>
      </c>
      <c r="O7" s="11">
        <v>45518</v>
      </c>
      <c r="P7" s="10">
        <v>45538</v>
      </c>
      <c r="Q7" s="10">
        <v>45540</v>
      </c>
      <c r="R7" s="13">
        <f t="shared" si="0"/>
        <v>22</v>
      </c>
      <c r="S7" s="13">
        <f>IF(OR(Table1_1[[#This Row],[تاريخ التسليم]]="فشل التسليم",Table1_1[[#This Row],[ميعاد التسليم]]="",Table1_1[[#This Row],[تاريخ التسليم]]=""),"",Table1_1[[#This Row],[تاريخ التسليم]]-Table1_1[[#This Row],[ميعاد التسليم]])</f>
        <v>2</v>
      </c>
      <c r="T7"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7" t="s">
        <v>18</v>
      </c>
      <c r="V7" t="s">
        <v>125</v>
      </c>
    </row>
    <row r="8" spans="1:22" x14ac:dyDescent="0.3">
      <c r="A8" s="16">
        <v>7</v>
      </c>
      <c r="B8" t="s">
        <v>21</v>
      </c>
      <c r="C8" t="s">
        <v>230</v>
      </c>
      <c r="D8" t="s">
        <v>22</v>
      </c>
      <c r="E8" t="s">
        <v>226</v>
      </c>
      <c r="F8" t="s">
        <v>23</v>
      </c>
      <c r="G8" s="9" t="s">
        <v>241</v>
      </c>
      <c r="H8" t="s">
        <v>103</v>
      </c>
      <c r="K8" t="s">
        <v>105</v>
      </c>
      <c r="M8" t="s">
        <v>112</v>
      </c>
      <c r="N8" s="9">
        <v>12000</v>
      </c>
      <c r="O8" s="11">
        <v>45521</v>
      </c>
      <c r="P8" s="10">
        <v>45524</v>
      </c>
      <c r="Q8" s="10">
        <v>45523</v>
      </c>
      <c r="R8" s="13">
        <f t="shared" si="0"/>
        <v>2</v>
      </c>
      <c r="S8" s="13">
        <f>IF(OR(Table1_1[[#This Row],[تاريخ التسليم]]="فشل التسليم",Table1_1[[#This Row],[ميعاد التسليم]]="",Table1_1[[#This Row],[تاريخ التسليم]]=""),"",Table1_1[[#This Row],[تاريخ التسليم]]-Table1_1[[#This Row],[ميعاد التسليم]])</f>
        <v>-1</v>
      </c>
      <c r="T8"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8" t="s">
        <v>18</v>
      </c>
      <c r="V8" t="s">
        <v>125</v>
      </c>
    </row>
    <row r="9" spans="1:22" x14ac:dyDescent="0.3">
      <c r="A9" s="16">
        <v>8</v>
      </c>
      <c r="B9" t="s">
        <v>25</v>
      </c>
      <c r="C9" t="s">
        <v>230</v>
      </c>
      <c r="D9" t="s">
        <v>26</v>
      </c>
      <c r="E9" t="s">
        <v>222</v>
      </c>
      <c r="F9" t="s">
        <v>5</v>
      </c>
      <c r="G9" s="9" t="s">
        <v>11</v>
      </c>
      <c r="H9" t="s">
        <v>94</v>
      </c>
      <c r="K9" t="s">
        <v>97</v>
      </c>
      <c r="M9" t="s">
        <v>107</v>
      </c>
      <c r="N9" s="9">
        <v>7228</v>
      </c>
      <c r="O9" s="11">
        <v>45529</v>
      </c>
      <c r="P9" s="10">
        <v>45538</v>
      </c>
      <c r="Q9" s="10">
        <v>45545</v>
      </c>
      <c r="R9" s="13">
        <f t="shared" si="0"/>
        <v>16</v>
      </c>
      <c r="S9" s="13">
        <f>IF(OR(Table1_1[[#This Row],[تاريخ التسليم]]="فشل التسليم",Table1_1[[#This Row],[ميعاد التسليم]]="",Table1_1[[#This Row],[تاريخ التسليم]]=""),"",Table1_1[[#This Row],[تاريخ التسليم]]-Table1_1[[#This Row],[ميعاد التسليم]])</f>
        <v>7</v>
      </c>
      <c r="T9"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9" t="s">
        <v>18</v>
      </c>
      <c r="V9" t="s">
        <v>125</v>
      </c>
    </row>
    <row r="10" spans="1:22" x14ac:dyDescent="0.3">
      <c r="A10" s="16">
        <v>9</v>
      </c>
      <c r="B10" t="s">
        <v>27</v>
      </c>
      <c r="C10" t="s">
        <v>231</v>
      </c>
      <c r="D10" t="s">
        <v>28</v>
      </c>
      <c r="E10" t="s">
        <v>226</v>
      </c>
      <c r="F10" t="s">
        <v>27</v>
      </c>
      <c r="G10" s="9" t="s">
        <v>241</v>
      </c>
      <c r="H10" t="s">
        <v>239</v>
      </c>
      <c r="K10" t="s">
        <v>102</v>
      </c>
      <c r="N10" s="9">
        <v>22000</v>
      </c>
      <c r="O10" s="11">
        <v>45523</v>
      </c>
      <c r="P10" s="10">
        <v>45536</v>
      </c>
      <c r="Q10" s="10">
        <v>45552</v>
      </c>
      <c r="R10" s="13">
        <f t="shared" si="0"/>
        <v>29</v>
      </c>
      <c r="S10" s="13">
        <f>IF(OR(Table1_1[[#This Row],[تاريخ التسليم]]="فشل التسليم",Table1_1[[#This Row],[ميعاد التسليم]]="",Table1_1[[#This Row],[تاريخ التسليم]]=""),"",Table1_1[[#This Row],[تاريخ التسليم]]-Table1_1[[#This Row],[ميعاد التسليم]])</f>
        <v>16</v>
      </c>
      <c r="T10"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V10" t="s">
        <v>125</v>
      </c>
    </row>
    <row r="11" spans="1:22" x14ac:dyDescent="0.3">
      <c r="A11" s="16">
        <v>10</v>
      </c>
      <c r="B11" t="s">
        <v>27</v>
      </c>
      <c r="C11" t="s">
        <v>231</v>
      </c>
      <c r="D11" t="s">
        <v>28</v>
      </c>
      <c r="E11" t="s">
        <v>226</v>
      </c>
      <c r="F11" t="s">
        <v>27</v>
      </c>
      <c r="G11" s="9" t="s">
        <v>241</v>
      </c>
      <c r="H11" t="s">
        <v>103</v>
      </c>
      <c r="K11" t="s">
        <v>101</v>
      </c>
      <c r="N11" s="9">
        <v>16000</v>
      </c>
      <c r="Q11" s="10" t="s">
        <v>123</v>
      </c>
      <c r="R11" s="13" t="str">
        <f t="shared" si="0"/>
        <v/>
      </c>
      <c r="S11" s="13" t="str">
        <f>IF(OR(Table1_1[[#This Row],[تاريخ التسليم]]="فشل التسليم",Table1_1[[#This Row],[ميعاد التسليم]]="",Table1_1[[#This Row],[تاريخ التسليم]]=""),"",Table1_1[[#This Row],[تاريخ التسليم]]-Table1_1[[#This Row],[ميعاد التسليم]])</f>
        <v/>
      </c>
      <c r="T11"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11" t="s">
        <v>24</v>
      </c>
      <c r="V11" t="s">
        <v>180</v>
      </c>
    </row>
    <row r="12" spans="1:22" x14ac:dyDescent="0.3">
      <c r="A12" s="16">
        <v>11</v>
      </c>
      <c r="B12" t="s">
        <v>27</v>
      </c>
      <c r="C12" t="s">
        <v>231</v>
      </c>
      <c r="D12" t="s">
        <v>30</v>
      </c>
      <c r="E12" t="s">
        <v>226</v>
      </c>
      <c r="F12" t="s">
        <v>27</v>
      </c>
      <c r="G12" s="9" t="s">
        <v>241</v>
      </c>
      <c r="H12" t="s">
        <v>103</v>
      </c>
      <c r="K12" t="s">
        <v>101</v>
      </c>
      <c r="N12" s="9">
        <v>6000</v>
      </c>
      <c r="O12" s="11">
        <v>45529</v>
      </c>
      <c r="P12" s="10">
        <v>45550</v>
      </c>
      <c r="Q12" s="10">
        <v>45552</v>
      </c>
      <c r="R12" s="13">
        <f t="shared" si="0"/>
        <v>23</v>
      </c>
      <c r="S12" s="13">
        <f>IF(OR(Table1_1[[#This Row],[تاريخ التسليم]]="فشل التسليم",Table1_1[[#This Row],[ميعاد التسليم]]="",Table1_1[[#This Row],[تاريخ التسليم]]=""),"",Table1_1[[#This Row],[تاريخ التسليم]]-Table1_1[[#This Row],[ميعاد التسليم]])</f>
        <v>2</v>
      </c>
      <c r="T12"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2" t="s">
        <v>126</v>
      </c>
      <c r="V12" t="s">
        <v>125</v>
      </c>
    </row>
    <row r="13" spans="1:22" x14ac:dyDescent="0.3">
      <c r="A13" s="16">
        <v>12</v>
      </c>
      <c r="B13" t="s">
        <v>27</v>
      </c>
      <c r="C13" t="s">
        <v>231</v>
      </c>
      <c r="D13" t="s">
        <v>30</v>
      </c>
      <c r="E13" t="s">
        <v>226</v>
      </c>
      <c r="F13" t="s">
        <v>27</v>
      </c>
      <c r="G13" s="9" t="s">
        <v>241</v>
      </c>
      <c r="H13" t="s">
        <v>103</v>
      </c>
      <c r="K13" t="s">
        <v>101</v>
      </c>
      <c r="N13" s="9">
        <v>6000</v>
      </c>
      <c r="O13" s="11">
        <v>45529</v>
      </c>
      <c r="P13" s="10">
        <v>45550</v>
      </c>
      <c r="Q13" s="10">
        <v>45552</v>
      </c>
      <c r="R13" s="13">
        <f t="shared" si="0"/>
        <v>23</v>
      </c>
      <c r="S13" s="13">
        <f>IF(OR(Table1_1[[#This Row],[تاريخ التسليم]]="فشل التسليم",Table1_1[[#This Row],[ميعاد التسليم]]="",Table1_1[[#This Row],[تاريخ التسليم]]=""),"",Table1_1[[#This Row],[تاريخ التسليم]]-Table1_1[[#This Row],[ميعاد التسليم]])</f>
        <v>2</v>
      </c>
      <c r="T13"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3" t="s">
        <v>126</v>
      </c>
      <c r="V13" t="s">
        <v>125</v>
      </c>
    </row>
    <row r="14" spans="1:22" hidden="1" x14ac:dyDescent="0.3">
      <c r="A14" s="16">
        <v>13</v>
      </c>
      <c r="B14" t="s">
        <v>31</v>
      </c>
      <c r="C14" t="s">
        <v>230</v>
      </c>
      <c r="D14" t="s">
        <v>32</v>
      </c>
      <c r="E14" t="s">
        <v>226</v>
      </c>
      <c r="F14" t="s">
        <v>5</v>
      </c>
      <c r="G14" s="9" t="s">
        <v>241</v>
      </c>
      <c r="H14" t="s">
        <v>94</v>
      </c>
      <c r="I14" t="s">
        <v>96</v>
      </c>
      <c r="J14">
        <v>80</v>
      </c>
      <c r="K14" t="s">
        <v>106</v>
      </c>
      <c r="L14" t="s">
        <v>107</v>
      </c>
      <c r="N14" s="9">
        <v>10499</v>
      </c>
      <c r="O14" s="11">
        <v>45536</v>
      </c>
      <c r="P14" s="10">
        <v>45551</v>
      </c>
      <c r="Q14" s="10">
        <v>45543</v>
      </c>
      <c r="R14" s="13">
        <f t="shared" si="0"/>
        <v>7</v>
      </c>
      <c r="S14" s="13">
        <f>IF(OR(Table1_1[[#This Row],[تاريخ التسليم]]="فشل التسليم",Table1_1[[#This Row],[ميعاد التسليم]]="",Table1_1[[#This Row],[تاريخ التسليم]]=""),"",Table1_1[[#This Row],[تاريخ التسليم]]-Table1_1[[#This Row],[ميعاد التسليم]])</f>
        <v>-8</v>
      </c>
      <c r="T14"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4" t="s">
        <v>18</v>
      </c>
      <c r="V14" t="s">
        <v>125</v>
      </c>
    </row>
    <row r="15" spans="1:22" hidden="1" x14ac:dyDescent="0.3">
      <c r="A15" s="16">
        <v>14</v>
      </c>
      <c r="B15" t="s">
        <v>41</v>
      </c>
      <c r="C15" t="s">
        <v>230</v>
      </c>
      <c r="D15" t="s">
        <v>26</v>
      </c>
      <c r="E15" t="s">
        <v>222</v>
      </c>
      <c r="F15" t="s">
        <v>5</v>
      </c>
      <c r="G15" s="9" t="s">
        <v>241</v>
      </c>
      <c r="H15" t="s">
        <v>94</v>
      </c>
      <c r="I15" t="s">
        <v>96</v>
      </c>
      <c r="J15">
        <v>80</v>
      </c>
      <c r="K15" t="s">
        <v>97</v>
      </c>
      <c r="L15" t="s">
        <v>107</v>
      </c>
      <c r="N15" s="9">
        <v>7295</v>
      </c>
      <c r="O15" s="11">
        <v>45540</v>
      </c>
      <c r="P15" s="10">
        <v>45549</v>
      </c>
      <c r="Q15" s="10" t="s">
        <v>123</v>
      </c>
      <c r="R15" s="13" t="str">
        <f t="shared" si="0"/>
        <v/>
      </c>
      <c r="S15" s="13" t="str">
        <f>IF(OR(Table1_1[[#This Row],[تاريخ التسليم]]="فشل التسليم",Table1_1[[#This Row],[ميعاد التسليم]]="",Table1_1[[#This Row],[تاريخ التسليم]]=""),"",Table1_1[[#This Row],[تاريخ التسليم]]-Table1_1[[#This Row],[ميعاد التسليم]])</f>
        <v/>
      </c>
      <c r="T15"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15" t="s">
        <v>24</v>
      </c>
      <c r="V15" t="s">
        <v>180</v>
      </c>
    </row>
    <row r="16" spans="1:22" x14ac:dyDescent="0.3">
      <c r="A16" s="16">
        <v>15</v>
      </c>
      <c r="B16" t="s">
        <v>39</v>
      </c>
      <c r="C16" t="s">
        <v>230</v>
      </c>
      <c r="D16" t="s">
        <v>40</v>
      </c>
      <c r="E16" t="s">
        <v>226</v>
      </c>
      <c r="F16" t="s">
        <v>5</v>
      </c>
      <c r="G16" s="9" t="s">
        <v>11</v>
      </c>
      <c r="H16" s="5" t="s">
        <v>204</v>
      </c>
      <c r="K16" t="s">
        <v>119</v>
      </c>
      <c r="N16" s="9">
        <v>7849</v>
      </c>
      <c r="O16" s="11">
        <v>45539</v>
      </c>
      <c r="P16" s="10">
        <v>45551</v>
      </c>
      <c r="Q16" s="10">
        <v>45560</v>
      </c>
      <c r="R16" s="13">
        <f t="shared" si="0"/>
        <v>21</v>
      </c>
      <c r="S16" s="13">
        <f>IF(OR(Table1_1[[#This Row],[تاريخ التسليم]]="فشل التسليم",Table1_1[[#This Row],[ميعاد التسليم]]="",Table1_1[[#This Row],[تاريخ التسليم]]=""),"",Table1_1[[#This Row],[تاريخ التسليم]]-Table1_1[[#This Row],[ميعاد التسليم]])</f>
        <v>9</v>
      </c>
      <c r="T16"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6" t="s">
        <v>18</v>
      </c>
      <c r="V16" t="s">
        <v>180</v>
      </c>
    </row>
    <row r="17" spans="1:22" hidden="1" x14ac:dyDescent="0.3">
      <c r="A17" s="16">
        <v>16</v>
      </c>
      <c r="B17" t="s">
        <v>34</v>
      </c>
      <c r="C17" t="s">
        <v>230</v>
      </c>
      <c r="D17" t="s">
        <v>35</v>
      </c>
      <c r="E17" t="s">
        <v>226</v>
      </c>
      <c r="F17" t="s">
        <v>36</v>
      </c>
      <c r="G17" s="9" t="s">
        <v>241</v>
      </c>
      <c r="H17" t="s">
        <v>94</v>
      </c>
      <c r="I17" t="s">
        <v>99</v>
      </c>
      <c r="J17">
        <v>120</v>
      </c>
      <c r="K17" t="s">
        <v>106</v>
      </c>
      <c r="L17" t="s">
        <v>108</v>
      </c>
      <c r="N17" s="9">
        <v>6180</v>
      </c>
      <c r="O17" s="11">
        <v>45538</v>
      </c>
      <c r="P17" s="10">
        <v>45551</v>
      </c>
      <c r="Q17" s="10">
        <v>45550</v>
      </c>
      <c r="R17" s="13">
        <f t="shared" si="0"/>
        <v>12</v>
      </c>
      <c r="S17" s="13">
        <f>IF(OR(Table1_1[[#This Row],[تاريخ التسليم]]="فشل التسليم",Table1_1[[#This Row],[ميعاد التسليم]]="",Table1_1[[#This Row],[تاريخ التسليم]]=""),"",Table1_1[[#This Row],[تاريخ التسليم]]-Table1_1[[#This Row],[ميعاد التسليم]])</f>
        <v>-1</v>
      </c>
      <c r="T17"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7" t="s">
        <v>126</v>
      </c>
      <c r="V17" t="s">
        <v>125</v>
      </c>
    </row>
    <row r="18" spans="1:22" hidden="1" x14ac:dyDescent="0.3">
      <c r="A18" s="16">
        <v>17</v>
      </c>
      <c r="B18" t="s">
        <v>34</v>
      </c>
      <c r="C18" t="s">
        <v>230</v>
      </c>
      <c r="D18" t="s">
        <v>35</v>
      </c>
      <c r="E18" t="s">
        <v>226</v>
      </c>
      <c r="F18" t="s">
        <v>36</v>
      </c>
      <c r="G18" s="9" t="s">
        <v>241</v>
      </c>
      <c r="H18" t="s">
        <v>94</v>
      </c>
      <c r="I18" t="s">
        <v>99</v>
      </c>
      <c r="J18">
        <v>120</v>
      </c>
      <c r="K18" t="s">
        <v>106</v>
      </c>
      <c r="L18" t="s">
        <v>108</v>
      </c>
      <c r="N18" s="9">
        <v>6180</v>
      </c>
      <c r="O18" s="11">
        <v>45538</v>
      </c>
      <c r="P18" s="10">
        <v>45551</v>
      </c>
      <c r="Q18" s="10">
        <v>45550</v>
      </c>
      <c r="R18" s="13">
        <f t="shared" si="0"/>
        <v>12</v>
      </c>
      <c r="S18" s="13">
        <f>IF(OR(Table1_1[[#This Row],[تاريخ التسليم]]="فشل التسليم",Table1_1[[#This Row],[ميعاد التسليم]]="",Table1_1[[#This Row],[تاريخ التسليم]]=""),"",Table1_1[[#This Row],[تاريخ التسليم]]-Table1_1[[#This Row],[ميعاد التسليم]])</f>
        <v>-1</v>
      </c>
      <c r="T18"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8" t="s">
        <v>126</v>
      </c>
      <c r="V18" t="s">
        <v>125</v>
      </c>
    </row>
    <row r="19" spans="1:22" hidden="1" x14ac:dyDescent="0.3">
      <c r="A19" s="16">
        <v>18</v>
      </c>
      <c r="B19" t="s">
        <v>37</v>
      </c>
      <c r="C19" t="s">
        <v>230</v>
      </c>
      <c r="D19" t="s">
        <v>38</v>
      </c>
      <c r="E19" t="s">
        <v>226</v>
      </c>
      <c r="F19" t="s">
        <v>5</v>
      </c>
      <c r="G19" s="9" t="s">
        <v>241</v>
      </c>
      <c r="H19" t="s">
        <v>94</v>
      </c>
      <c r="I19" t="s">
        <v>98</v>
      </c>
      <c r="J19">
        <v>80</v>
      </c>
      <c r="K19" t="s">
        <v>106</v>
      </c>
      <c r="L19" t="s">
        <v>107</v>
      </c>
      <c r="N19" s="9">
        <v>11199</v>
      </c>
      <c r="O19" s="11">
        <v>45539</v>
      </c>
      <c r="P19" s="10">
        <v>45553</v>
      </c>
      <c r="Q19" s="10" t="s">
        <v>123</v>
      </c>
      <c r="R19" s="13" t="str">
        <f t="shared" si="0"/>
        <v/>
      </c>
      <c r="S19" s="13" t="str">
        <f>IF(OR(Table1_1[[#This Row],[تاريخ التسليم]]="فشل التسليم",Table1_1[[#This Row],[ميعاد التسليم]]="",Table1_1[[#This Row],[تاريخ التسليم]]=""),"",Table1_1[[#This Row],[تاريخ التسليم]]-Table1_1[[#This Row],[ميعاد التسليم]])</f>
        <v/>
      </c>
      <c r="T19"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19" t="s">
        <v>24</v>
      </c>
      <c r="V19" t="s">
        <v>180</v>
      </c>
    </row>
    <row r="20" spans="1:22" hidden="1" x14ac:dyDescent="0.3">
      <c r="A20" s="16">
        <v>19</v>
      </c>
      <c r="B20" t="s">
        <v>21</v>
      </c>
      <c r="C20" t="s">
        <v>230</v>
      </c>
      <c r="D20" t="s">
        <v>42</v>
      </c>
      <c r="E20" t="s">
        <v>226</v>
      </c>
      <c r="F20" t="s">
        <v>5</v>
      </c>
      <c r="G20" s="9" t="s">
        <v>11</v>
      </c>
      <c r="H20" t="s">
        <v>94</v>
      </c>
      <c r="I20" t="s">
        <v>115</v>
      </c>
      <c r="J20">
        <v>80</v>
      </c>
      <c r="K20" t="s">
        <v>97</v>
      </c>
      <c r="L20" t="s">
        <v>107</v>
      </c>
      <c r="N20" s="9">
        <v>7987</v>
      </c>
      <c r="O20" s="11">
        <v>45541</v>
      </c>
      <c r="P20" s="10">
        <v>45551</v>
      </c>
      <c r="Q20" s="10">
        <v>45556</v>
      </c>
      <c r="R20" s="13">
        <f t="shared" si="0"/>
        <v>15</v>
      </c>
      <c r="S20" s="13">
        <f>IF(OR(Table1_1[[#This Row],[تاريخ التسليم]]="فشل التسليم",Table1_1[[#This Row],[ميعاد التسليم]]="",Table1_1[[#This Row],[تاريخ التسليم]]=""),"",Table1_1[[#This Row],[تاريخ التسليم]]-Table1_1[[#This Row],[ميعاد التسليم]])</f>
        <v>5</v>
      </c>
      <c r="T20"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20" t="s">
        <v>126</v>
      </c>
      <c r="V20" t="s">
        <v>125</v>
      </c>
    </row>
    <row r="21" spans="1:22" x14ac:dyDescent="0.3">
      <c r="A21" s="16">
        <v>20</v>
      </c>
      <c r="B21" t="s">
        <v>29</v>
      </c>
      <c r="C21" t="s">
        <v>231</v>
      </c>
      <c r="D21" t="s">
        <v>28</v>
      </c>
      <c r="E21" t="s">
        <v>226</v>
      </c>
      <c r="F21" t="s">
        <v>27</v>
      </c>
      <c r="G21" s="9" t="s">
        <v>241</v>
      </c>
      <c r="H21" t="s">
        <v>240</v>
      </c>
      <c r="I21" t="s">
        <v>138</v>
      </c>
      <c r="K21" t="s">
        <v>104</v>
      </c>
      <c r="N21" s="9">
        <v>9300</v>
      </c>
      <c r="O21" s="11">
        <v>45539</v>
      </c>
      <c r="P21" s="10">
        <v>45550</v>
      </c>
      <c r="Q21" s="10">
        <v>45552</v>
      </c>
      <c r="R21" s="13">
        <f t="shared" si="0"/>
        <v>13</v>
      </c>
      <c r="S21" s="13">
        <f>IF(OR(Table1_1[[#This Row],[تاريخ التسليم]]="فشل التسليم",Table1_1[[#This Row],[ميعاد التسليم]]="",Table1_1[[#This Row],[تاريخ التسليم]]=""),"",Table1_1[[#This Row],[تاريخ التسليم]]-Table1_1[[#This Row],[ميعاد التسليم]])</f>
        <v>2</v>
      </c>
      <c r="T21"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21" t="s">
        <v>126</v>
      </c>
      <c r="V21" t="s">
        <v>125</v>
      </c>
    </row>
    <row r="22" spans="1:22" hidden="1" x14ac:dyDescent="0.3">
      <c r="A22" s="16">
        <v>21</v>
      </c>
      <c r="B22" t="s">
        <v>21</v>
      </c>
      <c r="C22" t="s">
        <v>230</v>
      </c>
      <c r="D22" t="s">
        <v>42</v>
      </c>
      <c r="E22" t="s">
        <v>226</v>
      </c>
      <c r="F22" t="s">
        <v>5</v>
      </c>
      <c r="G22" s="9" t="s">
        <v>11</v>
      </c>
      <c r="H22" t="s">
        <v>94</v>
      </c>
      <c r="I22" t="s">
        <v>115</v>
      </c>
      <c r="J22">
        <v>80</v>
      </c>
      <c r="K22" t="s">
        <v>97</v>
      </c>
      <c r="L22" t="s">
        <v>107</v>
      </c>
      <c r="N22" s="9">
        <v>7987</v>
      </c>
      <c r="O22" s="11">
        <v>45541</v>
      </c>
      <c r="P22" s="10">
        <v>45551</v>
      </c>
      <c r="Q22" s="10">
        <v>45556</v>
      </c>
      <c r="R22" s="13">
        <f t="shared" si="0"/>
        <v>15</v>
      </c>
      <c r="S22" s="13">
        <f>IF(OR(Table1_1[[#This Row],[تاريخ التسليم]]="فشل التسليم",Table1_1[[#This Row],[ميعاد التسليم]]="",Table1_1[[#This Row],[تاريخ التسليم]]=""),"",Table1_1[[#This Row],[تاريخ التسليم]]-Table1_1[[#This Row],[ميعاد التسليم]])</f>
        <v>5</v>
      </c>
      <c r="T22"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22" t="s">
        <v>126</v>
      </c>
      <c r="V22" t="s">
        <v>125</v>
      </c>
    </row>
    <row r="23" spans="1:22" hidden="1" x14ac:dyDescent="0.3">
      <c r="A23" s="16">
        <v>22</v>
      </c>
      <c r="B23" t="s">
        <v>21</v>
      </c>
      <c r="C23" t="s">
        <v>230</v>
      </c>
      <c r="D23" t="s">
        <v>42</v>
      </c>
      <c r="E23" t="s">
        <v>226</v>
      </c>
      <c r="F23" t="s">
        <v>5</v>
      </c>
      <c r="G23" s="9" t="s">
        <v>11</v>
      </c>
      <c r="H23" t="s">
        <v>94</v>
      </c>
      <c r="I23" t="s">
        <v>115</v>
      </c>
      <c r="J23">
        <v>80</v>
      </c>
      <c r="K23" t="s">
        <v>97</v>
      </c>
      <c r="L23" t="s">
        <v>107</v>
      </c>
      <c r="N23" s="9">
        <v>7987</v>
      </c>
      <c r="O23" s="11">
        <v>45541</v>
      </c>
      <c r="P23" s="10">
        <v>45551</v>
      </c>
      <c r="Q23" s="10">
        <v>45556</v>
      </c>
      <c r="R23" s="13">
        <f t="shared" si="0"/>
        <v>15</v>
      </c>
      <c r="S23" s="13">
        <f>IF(OR(Table1_1[[#This Row],[تاريخ التسليم]]="فشل التسليم",Table1_1[[#This Row],[ميعاد التسليم]]="",Table1_1[[#This Row],[تاريخ التسليم]]=""),"",Table1_1[[#This Row],[تاريخ التسليم]]-Table1_1[[#This Row],[ميعاد التسليم]])</f>
        <v>5</v>
      </c>
      <c r="T23"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23" t="s">
        <v>126</v>
      </c>
      <c r="V23" t="s">
        <v>125</v>
      </c>
    </row>
    <row r="24" spans="1:22" hidden="1" x14ac:dyDescent="0.3">
      <c r="A24" s="16">
        <v>23</v>
      </c>
      <c r="B24" t="s">
        <v>21</v>
      </c>
      <c r="C24" t="s">
        <v>230</v>
      </c>
      <c r="D24" t="s">
        <v>42</v>
      </c>
      <c r="E24" t="s">
        <v>226</v>
      </c>
      <c r="F24" t="s">
        <v>5</v>
      </c>
      <c r="G24" s="9" t="s">
        <v>11</v>
      </c>
      <c r="H24" t="s">
        <v>94</v>
      </c>
      <c r="I24" t="s">
        <v>115</v>
      </c>
      <c r="J24">
        <v>80</v>
      </c>
      <c r="K24" t="s">
        <v>97</v>
      </c>
      <c r="L24" t="s">
        <v>107</v>
      </c>
      <c r="N24" s="9">
        <v>7987</v>
      </c>
      <c r="O24" s="11">
        <v>45541</v>
      </c>
      <c r="P24" s="10">
        <v>45551</v>
      </c>
      <c r="Q24" s="10">
        <v>45556</v>
      </c>
      <c r="R24" s="13">
        <f t="shared" si="0"/>
        <v>15</v>
      </c>
      <c r="S24" s="13">
        <f>IF(OR(Table1_1[[#This Row],[تاريخ التسليم]]="فشل التسليم",Table1_1[[#This Row],[ميعاد التسليم]]="",Table1_1[[#This Row],[تاريخ التسليم]]=""),"",Table1_1[[#This Row],[تاريخ التسليم]]-Table1_1[[#This Row],[ميعاد التسليم]])</f>
        <v>5</v>
      </c>
      <c r="T24"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24" t="s">
        <v>126</v>
      </c>
      <c r="V24" t="s">
        <v>125</v>
      </c>
    </row>
    <row r="25" spans="1:22" x14ac:dyDescent="0.3">
      <c r="A25" s="16">
        <v>24</v>
      </c>
      <c r="B25" t="s">
        <v>65</v>
      </c>
      <c r="C25" t="s">
        <v>230</v>
      </c>
      <c r="D25" t="s">
        <v>66</v>
      </c>
      <c r="E25" t="s">
        <v>226</v>
      </c>
      <c r="F25" t="s">
        <v>5</v>
      </c>
      <c r="G25" s="9" t="s">
        <v>11</v>
      </c>
      <c r="H25" s="5" t="s">
        <v>204</v>
      </c>
      <c r="K25" t="s">
        <v>119</v>
      </c>
      <c r="N25" s="9">
        <v>8849</v>
      </c>
      <c r="O25" s="11">
        <v>45538</v>
      </c>
      <c r="P25" s="10">
        <v>45581</v>
      </c>
      <c r="Q25" s="10" t="s">
        <v>123</v>
      </c>
      <c r="R25" s="13" t="str">
        <f t="shared" si="0"/>
        <v/>
      </c>
      <c r="S25" s="13" t="str">
        <f>IF(OR(Table1_1[[#This Row],[تاريخ التسليم]]="فشل التسليم",Table1_1[[#This Row],[ميعاد التسليم]]="",Table1_1[[#This Row],[تاريخ التسليم]]=""),"",Table1_1[[#This Row],[تاريخ التسليم]]-Table1_1[[#This Row],[ميعاد التسليم]])</f>
        <v/>
      </c>
      <c r="T25"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25" t="s">
        <v>24</v>
      </c>
      <c r="V25" t="s">
        <v>180</v>
      </c>
    </row>
    <row r="26" spans="1:22" hidden="1" x14ac:dyDescent="0.3">
      <c r="A26" s="16">
        <v>25</v>
      </c>
      <c r="B26" t="s">
        <v>43</v>
      </c>
      <c r="C26" t="s">
        <v>230</v>
      </c>
      <c r="D26" t="s">
        <v>26</v>
      </c>
      <c r="E26" t="s">
        <v>222</v>
      </c>
      <c r="F26" t="s">
        <v>5</v>
      </c>
      <c r="G26" s="9" t="s">
        <v>11</v>
      </c>
      <c r="H26" t="s">
        <v>94</v>
      </c>
      <c r="I26" t="s">
        <v>100</v>
      </c>
      <c r="J26">
        <v>120</v>
      </c>
      <c r="K26" t="s">
        <v>97</v>
      </c>
      <c r="L26" t="s">
        <v>107</v>
      </c>
      <c r="N26" s="9">
        <v>10987</v>
      </c>
      <c r="O26" s="11">
        <v>45544</v>
      </c>
      <c r="P26" s="10">
        <v>45552</v>
      </c>
      <c r="Q26" s="10">
        <v>45556</v>
      </c>
      <c r="R26" s="13">
        <f t="shared" si="0"/>
        <v>12</v>
      </c>
      <c r="S26" s="13">
        <f>IF(OR(Table1_1[[#This Row],[تاريخ التسليم]]="فشل التسليم",Table1_1[[#This Row],[ميعاد التسليم]]="",Table1_1[[#This Row],[تاريخ التسليم]]=""),"",Table1_1[[#This Row],[تاريخ التسليم]]-Table1_1[[#This Row],[ميعاد التسليم]])</f>
        <v>4</v>
      </c>
      <c r="T26"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26" t="s">
        <v>126</v>
      </c>
      <c r="V26" t="s">
        <v>125</v>
      </c>
    </row>
    <row r="27" spans="1:22" hidden="1" x14ac:dyDescent="0.3">
      <c r="A27" s="16">
        <v>26</v>
      </c>
      <c r="B27" t="s">
        <v>20</v>
      </c>
      <c r="C27" t="s">
        <v>231</v>
      </c>
      <c r="E27" t="s">
        <v>222</v>
      </c>
      <c r="F27" t="s">
        <v>33</v>
      </c>
      <c r="G27" s="9" t="s">
        <v>241</v>
      </c>
      <c r="H27" t="s">
        <v>94</v>
      </c>
      <c r="I27" t="s">
        <v>98</v>
      </c>
      <c r="J27">
        <v>100</v>
      </c>
      <c r="K27" t="s">
        <v>106</v>
      </c>
      <c r="L27" t="s">
        <v>107</v>
      </c>
      <c r="N27" s="9">
        <v>9208</v>
      </c>
      <c r="O27" s="11">
        <v>45536</v>
      </c>
      <c r="P27" s="10">
        <v>45554</v>
      </c>
      <c r="Q27" s="10">
        <v>45556</v>
      </c>
      <c r="R27" s="13">
        <f t="shared" si="0"/>
        <v>20</v>
      </c>
      <c r="S27" s="13">
        <f>IF(OR(Table1_1[[#This Row],[تاريخ التسليم]]="فشل التسليم",Table1_1[[#This Row],[ميعاد التسليم]]="",Table1_1[[#This Row],[تاريخ التسليم]]=""),"",Table1_1[[#This Row],[تاريخ التسليم]]-Table1_1[[#This Row],[ميعاد التسليم]])</f>
        <v>2</v>
      </c>
      <c r="T27"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27" t="s">
        <v>126</v>
      </c>
      <c r="V27" t="s">
        <v>125</v>
      </c>
    </row>
    <row r="28" spans="1:22" hidden="1" x14ac:dyDescent="0.3">
      <c r="A28" s="16">
        <v>27</v>
      </c>
      <c r="B28" t="s">
        <v>20</v>
      </c>
      <c r="C28" t="s">
        <v>231</v>
      </c>
      <c r="E28" t="s">
        <v>226</v>
      </c>
      <c r="F28" t="s">
        <v>33</v>
      </c>
      <c r="G28" s="9" t="s">
        <v>241</v>
      </c>
      <c r="H28" t="s">
        <v>94</v>
      </c>
      <c r="I28" t="s">
        <v>98</v>
      </c>
      <c r="J28">
        <v>100</v>
      </c>
      <c r="K28" t="s">
        <v>106</v>
      </c>
      <c r="L28" t="s">
        <v>108</v>
      </c>
      <c r="N28" s="9">
        <v>9208</v>
      </c>
      <c r="O28" s="11">
        <v>45536</v>
      </c>
      <c r="P28" s="10">
        <v>45554</v>
      </c>
      <c r="Q28" s="10">
        <v>45556</v>
      </c>
      <c r="R28" s="13">
        <f t="shared" si="0"/>
        <v>20</v>
      </c>
      <c r="S28" s="13">
        <f>IF(OR(Table1_1[[#This Row],[تاريخ التسليم]]="فشل التسليم",Table1_1[[#This Row],[ميعاد التسليم]]="",Table1_1[[#This Row],[تاريخ التسليم]]=""),"",Table1_1[[#This Row],[تاريخ التسليم]]-Table1_1[[#This Row],[ميعاد التسليم]])</f>
        <v>2</v>
      </c>
      <c r="T28"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28" t="s">
        <v>126</v>
      </c>
      <c r="V28" t="s">
        <v>125</v>
      </c>
    </row>
    <row r="29" spans="1:22" hidden="1" x14ac:dyDescent="0.3">
      <c r="A29" s="16">
        <v>28</v>
      </c>
      <c r="B29" t="s">
        <v>52</v>
      </c>
      <c r="C29" t="s">
        <v>231</v>
      </c>
      <c r="D29" t="s">
        <v>53</v>
      </c>
      <c r="E29" t="s">
        <v>227</v>
      </c>
      <c r="F29" t="s">
        <v>36</v>
      </c>
      <c r="G29" s="9" t="s">
        <v>54</v>
      </c>
      <c r="H29" t="s">
        <v>94</v>
      </c>
      <c r="I29" t="s">
        <v>115</v>
      </c>
      <c r="J29">
        <v>120</v>
      </c>
      <c r="K29" t="s">
        <v>97</v>
      </c>
      <c r="L29" t="s">
        <v>107</v>
      </c>
      <c r="N29" s="9">
        <v>4020</v>
      </c>
      <c r="O29" s="11">
        <v>45547</v>
      </c>
      <c r="P29" s="10">
        <v>45556</v>
      </c>
      <c r="Q29" s="10">
        <v>45557</v>
      </c>
      <c r="R29" s="13">
        <f t="shared" si="0"/>
        <v>10</v>
      </c>
      <c r="S29" s="13">
        <f>IF(OR(Table1_1[[#This Row],[تاريخ التسليم]]="فشل التسليم",Table1_1[[#This Row],[ميعاد التسليم]]="",Table1_1[[#This Row],[تاريخ التسليم]]=""),"",Table1_1[[#This Row],[تاريخ التسليم]]-Table1_1[[#This Row],[ميعاد التسليم]])</f>
        <v>1</v>
      </c>
      <c r="T29"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29" t="s">
        <v>126</v>
      </c>
      <c r="V29" t="s">
        <v>125</v>
      </c>
    </row>
    <row r="30" spans="1:22" hidden="1" x14ac:dyDescent="0.3">
      <c r="A30" s="16">
        <v>29</v>
      </c>
      <c r="B30" t="s">
        <v>52</v>
      </c>
      <c r="C30" t="s">
        <v>231</v>
      </c>
      <c r="D30" t="s">
        <v>53</v>
      </c>
      <c r="E30" t="s">
        <v>227</v>
      </c>
      <c r="F30" t="s">
        <v>36</v>
      </c>
      <c r="G30" s="9" t="s">
        <v>54</v>
      </c>
      <c r="H30" t="s">
        <v>94</v>
      </c>
      <c r="I30" t="s">
        <v>115</v>
      </c>
      <c r="J30">
        <v>120</v>
      </c>
      <c r="K30" t="s">
        <v>97</v>
      </c>
      <c r="L30" t="s">
        <v>107</v>
      </c>
      <c r="N30" s="9">
        <v>4020</v>
      </c>
      <c r="O30" s="11">
        <v>45547</v>
      </c>
      <c r="P30" s="10">
        <v>45556</v>
      </c>
      <c r="Q30" s="10">
        <v>45557</v>
      </c>
      <c r="R30" s="13">
        <f t="shared" si="0"/>
        <v>10</v>
      </c>
      <c r="S30" s="13">
        <f>IF(OR(Table1_1[[#This Row],[تاريخ التسليم]]="فشل التسليم",Table1_1[[#This Row],[ميعاد التسليم]]="",Table1_1[[#This Row],[تاريخ التسليم]]=""),"",Table1_1[[#This Row],[تاريخ التسليم]]-Table1_1[[#This Row],[ميعاد التسليم]])</f>
        <v>1</v>
      </c>
      <c r="T30"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30" t="s">
        <v>126</v>
      </c>
      <c r="V30" t="s">
        <v>125</v>
      </c>
    </row>
    <row r="31" spans="1:22" hidden="1" x14ac:dyDescent="0.3">
      <c r="A31" s="16">
        <v>30</v>
      </c>
      <c r="B31" t="s">
        <v>52</v>
      </c>
      <c r="C31" t="s">
        <v>231</v>
      </c>
      <c r="D31" t="s">
        <v>53</v>
      </c>
      <c r="E31" t="s">
        <v>227</v>
      </c>
      <c r="F31" t="s">
        <v>36</v>
      </c>
      <c r="G31" s="9" t="s">
        <v>71</v>
      </c>
      <c r="H31" t="s">
        <v>94</v>
      </c>
      <c r="I31" t="s">
        <v>109</v>
      </c>
      <c r="J31">
        <v>120</v>
      </c>
      <c r="K31" t="s">
        <v>97</v>
      </c>
      <c r="L31" t="s">
        <v>108</v>
      </c>
      <c r="N31" s="9">
        <v>4020</v>
      </c>
      <c r="O31" s="11">
        <v>45547</v>
      </c>
      <c r="P31" s="10">
        <v>45556</v>
      </c>
      <c r="Q31" s="10">
        <v>45557</v>
      </c>
      <c r="R31" s="13">
        <f t="shared" si="0"/>
        <v>10</v>
      </c>
      <c r="S31" s="13">
        <f>IF(OR(Table1_1[[#This Row],[تاريخ التسليم]]="فشل التسليم",Table1_1[[#This Row],[ميعاد التسليم]]="",Table1_1[[#This Row],[تاريخ التسليم]]=""),"",Table1_1[[#This Row],[تاريخ التسليم]]-Table1_1[[#This Row],[ميعاد التسليم]])</f>
        <v>1</v>
      </c>
      <c r="T31"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31" t="s">
        <v>126</v>
      </c>
      <c r="V31" t="s">
        <v>125</v>
      </c>
    </row>
    <row r="32" spans="1:22" hidden="1" x14ac:dyDescent="0.3">
      <c r="A32" s="16">
        <v>31</v>
      </c>
      <c r="B32" t="s">
        <v>52</v>
      </c>
      <c r="C32" t="s">
        <v>231</v>
      </c>
      <c r="D32" t="s">
        <v>53</v>
      </c>
      <c r="E32" t="s">
        <v>227</v>
      </c>
      <c r="F32" t="s">
        <v>36</v>
      </c>
      <c r="G32" s="9" t="s">
        <v>71</v>
      </c>
      <c r="H32" t="s">
        <v>94</v>
      </c>
      <c r="I32" t="s">
        <v>109</v>
      </c>
      <c r="J32">
        <v>120</v>
      </c>
      <c r="K32" t="s">
        <v>97</v>
      </c>
      <c r="L32" t="s">
        <v>108</v>
      </c>
      <c r="N32" s="9">
        <v>4020</v>
      </c>
      <c r="O32" s="11">
        <v>45547</v>
      </c>
      <c r="P32" s="10">
        <v>45556</v>
      </c>
      <c r="Q32" s="10">
        <v>45557</v>
      </c>
      <c r="R32" s="13">
        <f t="shared" si="0"/>
        <v>10</v>
      </c>
      <c r="S32" s="13">
        <f>IF(OR(Table1_1[[#This Row],[تاريخ التسليم]]="فشل التسليم",Table1_1[[#This Row],[ميعاد التسليم]]="",Table1_1[[#This Row],[تاريخ التسليم]]=""),"",Table1_1[[#This Row],[تاريخ التسليم]]-Table1_1[[#This Row],[ميعاد التسليم]])</f>
        <v>1</v>
      </c>
      <c r="T32"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32" t="s">
        <v>126</v>
      </c>
      <c r="V32" t="s">
        <v>125</v>
      </c>
    </row>
    <row r="33" spans="1:22" hidden="1" x14ac:dyDescent="0.3">
      <c r="A33" s="16">
        <v>32</v>
      </c>
      <c r="B33" t="s">
        <v>90</v>
      </c>
      <c r="C33" t="s">
        <v>230</v>
      </c>
      <c r="D33" t="s">
        <v>91</v>
      </c>
      <c r="E33" t="s">
        <v>135</v>
      </c>
      <c r="F33" t="s">
        <v>5</v>
      </c>
      <c r="G33" s="9" t="s">
        <v>71</v>
      </c>
      <c r="H33" t="s">
        <v>94</v>
      </c>
      <c r="K33" t="s">
        <v>95</v>
      </c>
      <c r="L33" t="s">
        <v>108</v>
      </c>
      <c r="M33" t="s">
        <v>108</v>
      </c>
      <c r="N33" s="9">
        <v>9399</v>
      </c>
      <c r="O33" s="11">
        <v>45549</v>
      </c>
      <c r="P33" s="10">
        <v>45557</v>
      </c>
      <c r="Q33" s="10" t="s">
        <v>123</v>
      </c>
      <c r="R33" s="13" t="str">
        <f t="shared" si="0"/>
        <v/>
      </c>
      <c r="S33" s="13" t="str">
        <f>IF(OR(Table1_1[[#This Row],[تاريخ التسليم]]="فشل التسليم",Table1_1[[#This Row],[ميعاد التسليم]]="",Table1_1[[#This Row],[تاريخ التسليم]]=""),"",Table1_1[[#This Row],[تاريخ التسليم]]-Table1_1[[#This Row],[ميعاد التسليم]])</f>
        <v/>
      </c>
      <c r="T33"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33" t="s">
        <v>24</v>
      </c>
      <c r="V33" t="s">
        <v>180</v>
      </c>
    </row>
    <row r="34" spans="1:22" x14ac:dyDescent="0.3">
      <c r="A34" s="16">
        <v>33</v>
      </c>
      <c r="B34" t="s">
        <v>92</v>
      </c>
      <c r="C34" t="s">
        <v>230</v>
      </c>
      <c r="D34" t="s">
        <v>93</v>
      </c>
      <c r="E34" t="s">
        <v>223</v>
      </c>
      <c r="F34" t="s">
        <v>5</v>
      </c>
      <c r="G34" s="9" t="s">
        <v>71</v>
      </c>
      <c r="H34" s="5" t="s">
        <v>204</v>
      </c>
      <c r="K34" t="s">
        <v>121</v>
      </c>
      <c r="N34" s="9">
        <v>8349</v>
      </c>
      <c r="O34" s="11">
        <v>45549</v>
      </c>
      <c r="P34" s="10">
        <v>45557</v>
      </c>
      <c r="Q34" s="10">
        <v>45559</v>
      </c>
      <c r="R34" s="13">
        <f t="shared" ref="R34:R65" si="1">IF(OR(Q34="فشل التسليم",O34="",Q34=""),"",Q34-O34)</f>
        <v>10</v>
      </c>
      <c r="S34" s="13">
        <f>IF(OR(Table1_1[[#This Row],[تاريخ التسليم]]="فشل التسليم",Table1_1[[#This Row],[ميعاد التسليم]]="",Table1_1[[#This Row],[تاريخ التسليم]]=""),"",Table1_1[[#This Row],[تاريخ التسليم]]-Table1_1[[#This Row],[ميعاد التسليم]])</f>
        <v>2</v>
      </c>
      <c r="T34"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34" t="s">
        <v>18</v>
      </c>
      <c r="V34" t="s">
        <v>125</v>
      </c>
    </row>
    <row r="35" spans="1:22" hidden="1" x14ac:dyDescent="0.3">
      <c r="A35" s="16">
        <v>34</v>
      </c>
      <c r="B35" t="s">
        <v>64</v>
      </c>
      <c r="C35" t="s">
        <v>230</v>
      </c>
      <c r="D35" t="s">
        <v>26</v>
      </c>
      <c r="E35" t="s">
        <v>222</v>
      </c>
      <c r="F35" t="s">
        <v>5</v>
      </c>
      <c r="G35" s="9" t="s">
        <v>11</v>
      </c>
      <c r="H35" t="s">
        <v>94</v>
      </c>
      <c r="K35" t="s">
        <v>95</v>
      </c>
      <c r="L35" t="s">
        <v>108</v>
      </c>
      <c r="M35" t="s">
        <v>108</v>
      </c>
      <c r="N35" s="9">
        <v>9399</v>
      </c>
      <c r="O35" s="11">
        <v>45548</v>
      </c>
      <c r="P35" s="10">
        <v>45559</v>
      </c>
      <c r="Q35" s="11">
        <v>45565</v>
      </c>
      <c r="R35" s="15">
        <f t="shared" si="1"/>
        <v>17</v>
      </c>
      <c r="S35" s="15">
        <f>IF(OR(Table1_1[[#This Row],[تاريخ التسليم]]="فشل التسليم",Table1_1[[#This Row],[ميعاد التسليم]]="",Table1_1[[#This Row],[تاريخ التسليم]]=""),"",Table1_1[[#This Row],[تاريخ التسليم]]-Table1_1[[#This Row],[ميعاد التسليم]])</f>
        <v>6</v>
      </c>
      <c r="T35" s="15" t="str">
        <f>IF(Table1_1[[#This Row],[تاريخ التسليم]]="فشل التسليم","Failed",IF(Table1_1[[#This Row],[تاريخ التسليم]]&lt;Table1_1[[#This Row],[ميعاد التسليم]],"Early",IF(Table1_1[[#This Row],[تاريخ التسليم]]=Table1_1[[#This Row],[ميعاد التسليم]],"On Time","Late")))</f>
        <v>Late</v>
      </c>
      <c r="U35" t="s">
        <v>18</v>
      </c>
      <c r="V35" t="s">
        <v>125</v>
      </c>
    </row>
    <row r="36" spans="1:22" x14ac:dyDescent="0.3">
      <c r="A36" s="16">
        <v>35</v>
      </c>
      <c r="B36" t="s">
        <v>44</v>
      </c>
      <c r="C36" t="s">
        <v>230</v>
      </c>
      <c r="D36" t="s">
        <v>45</v>
      </c>
      <c r="E36" t="s">
        <v>226</v>
      </c>
      <c r="F36" t="s">
        <v>5</v>
      </c>
      <c r="G36" s="9" t="s">
        <v>241</v>
      </c>
      <c r="H36" s="5" t="s">
        <v>204</v>
      </c>
      <c r="K36" t="s">
        <v>119</v>
      </c>
      <c r="N36" s="9">
        <v>7849</v>
      </c>
      <c r="O36" s="11">
        <v>45547</v>
      </c>
      <c r="P36" s="10">
        <v>45561</v>
      </c>
      <c r="Q36" s="10">
        <v>45561</v>
      </c>
      <c r="R36" s="13">
        <f t="shared" si="1"/>
        <v>14</v>
      </c>
      <c r="S36" s="13">
        <f>IF(OR(Table1_1[[#This Row],[تاريخ التسليم]]="فشل التسليم",Table1_1[[#This Row],[ميعاد التسليم]]="",Table1_1[[#This Row],[تاريخ التسليم]]=""),"",Table1_1[[#This Row],[تاريخ التسليم]]-Table1_1[[#This Row],[ميعاد التسليم]])</f>
        <v>0</v>
      </c>
      <c r="T36" s="13" t="str">
        <f>IF(Table1_1[[#This Row],[تاريخ التسليم]]="فشل التسليم","Failed",IF(Table1_1[[#This Row],[تاريخ التسليم]]&lt;Table1_1[[#This Row],[ميعاد التسليم]],"Early",IF(Table1_1[[#This Row],[تاريخ التسليم]]=Table1_1[[#This Row],[ميعاد التسليم]],"On Time","Late")))</f>
        <v>On Time</v>
      </c>
      <c r="U36" t="s">
        <v>18</v>
      </c>
      <c r="V36" t="s">
        <v>125</v>
      </c>
    </row>
    <row r="37" spans="1:22" hidden="1" x14ac:dyDescent="0.3">
      <c r="A37" s="16">
        <v>36</v>
      </c>
      <c r="B37" t="s">
        <v>50</v>
      </c>
      <c r="C37" t="s">
        <v>230</v>
      </c>
      <c r="D37" t="s">
        <v>51</v>
      </c>
      <c r="E37" t="s">
        <v>222</v>
      </c>
      <c r="F37" t="s">
        <v>23</v>
      </c>
      <c r="G37" s="9" t="s">
        <v>241</v>
      </c>
      <c r="H37" t="s">
        <v>94</v>
      </c>
      <c r="I37" t="s">
        <v>99</v>
      </c>
      <c r="J37">
        <v>100</v>
      </c>
      <c r="K37" t="s">
        <v>111</v>
      </c>
      <c r="L37" t="s">
        <v>108</v>
      </c>
      <c r="N37" s="9">
        <v>9450</v>
      </c>
      <c r="O37" s="11">
        <v>45547</v>
      </c>
      <c r="P37" s="10">
        <v>45561</v>
      </c>
      <c r="Q37" s="10" t="s">
        <v>123</v>
      </c>
      <c r="R37" s="13" t="str">
        <f t="shared" si="1"/>
        <v/>
      </c>
      <c r="S37" s="13" t="str">
        <f>IF(OR(Table1_1[[#This Row],[تاريخ التسليم]]="فشل التسليم",Table1_1[[#This Row],[ميعاد التسليم]]="",Table1_1[[#This Row],[تاريخ التسليم]]=""),"",Table1_1[[#This Row],[تاريخ التسليم]]-Table1_1[[#This Row],[ميعاد التسليم]])</f>
        <v/>
      </c>
      <c r="T37"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37" t="s">
        <v>24</v>
      </c>
      <c r="V37" t="s">
        <v>180</v>
      </c>
    </row>
    <row r="38" spans="1:22" hidden="1" x14ac:dyDescent="0.3">
      <c r="A38" s="16">
        <v>37</v>
      </c>
      <c r="B38" t="s">
        <v>59</v>
      </c>
      <c r="C38" t="s">
        <v>230</v>
      </c>
      <c r="D38" t="s">
        <v>42</v>
      </c>
      <c r="E38" t="s">
        <v>226</v>
      </c>
      <c r="F38" t="s">
        <v>5</v>
      </c>
      <c r="G38" s="9" t="s">
        <v>11</v>
      </c>
      <c r="H38" t="s">
        <v>94</v>
      </c>
      <c r="I38" t="s">
        <v>100</v>
      </c>
      <c r="J38">
        <v>120</v>
      </c>
      <c r="K38" t="s">
        <v>97</v>
      </c>
      <c r="L38" t="s">
        <v>108</v>
      </c>
      <c r="N38" s="9">
        <v>7460</v>
      </c>
      <c r="O38" s="11">
        <v>45548</v>
      </c>
      <c r="P38" s="10">
        <v>45561</v>
      </c>
      <c r="Q38" s="10">
        <v>45568</v>
      </c>
      <c r="R38" s="13">
        <f t="shared" si="1"/>
        <v>20</v>
      </c>
      <c r="S38" s="13">
        <f>IF(OR(Table1_1[[#This Row],[تاريخ التسليم]]="فشل التسليم",Table1_1[[#This Row],[ميعاد التسليم]]="",Table1_1[[#This Row],[تاريخ التسليم]]=""),"",Table1_1[[#This Row],[تاريخ التسليم]]-Table1_1[[#This Row],[ميعاد التسليم]])</f>
        <v>7</v>
      </c>
      <c r="T38"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38" t="s">
        <v>126</v>
      </c>
      <c r="V38" t="s">
        <v>125</v>
      </c>
    </row>
    <row r="39" spans="1:22" hidden="1" x14ac:dyDescent="0.3">
      <c r="A39" s="16">
        <v>38</v>
      </c>
      <c r="B39" t="s">
        <v>61</v>
      </c>
      <c r="C39" t="s">
        <v>230</v>
      </c>
      <c r="D39" t="s">
        <v>42</v>
      </c>
      <c r="E39" t="s">
        <v>226</v>
      </c>
      <c r="F39" t="s">
        <v>5</v>
      </c>
      <c r="G39" s="9" t="s">
        <v>11</v>
      </c>
      <c r="H39" t="s">
        <v>94</v>
      </c>
      <c r="I39" t="s">
        <v>116</v>
      </c>
      <c r="J39">
        <v>140</v>
      </c>
      <c r="K39" t="s">
        <v>97</v>
      </c>
      <c r="L39" t="s">
        <v>114</v>
      </c>
      <c r="M39" t="s">
        <v>112</v>
      </c>
      <c r="N39" s="9">
        <v>9528</v>
      </c>
      <c r="O39" s="11">
        <v>45548</v>
      </c>
      <c r="P39" s="10">
        <v>45561</v>
      </c>
      <c r="Q39" s="10">
        <v>45568</v>
      </c>
      <c r="R39" s="13">
        <f t="shared" si="1"/>
        <v>20</v>
      </c>
      <c r="S39" s="13">
        <f>IF(OR(Table1_1[[#This Row],[تاريخ التسليم]]="فشل التسليم",Table1_1[[#This Row],[ميعاد التسليم]]="",Table1_1[[#This Row],[تاريخ التسليم]]=""),"",Table1_1[[#This Row],[تاريخ التسليم]]-Table1_1[[#This Row],[ميعاد التسليم]])</f>
        <v>7</v>
      </c>
      <c r="T39"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39" t="s">
        <v>126</v>
      </c>
      <c r="V39" t="s">
        <v>125</v>
      </c>
    </row>
    <row r="40" spans="1:22" hidden="1" x14ac:dyDescent="0.3">
      <c r="A40" s="16">
        <v>39</v>
      </c>
      <c r="B40" t="s">
        <v>89</v>
      </c>
      <c r="C40" t="s">
        <v>230</v>
      </c>
      <c r="D40" t="s">
        <v>26</v>
      </c>
      <c r="E40" t="s">
        <v>222</v>
      </c>
      <c r="F40" t="s">
        <v>5</v>
      </c>
      <c r="G40" s="9" t="s">
        <v>11</v>
      </c>
      <c r="H40" t="s">
        <v>94</v>
      </c>
      <c r="I40" t="s">
        <v>99</v>
      </c>
      <c r="J40">
        <v>120</v>
      </c>
      <c r="K40" t="s">
        <v>106</v>
      </c>
      <c r="L40" t="s">
        <v>112</v>
      </c>
      <c r="N40" s="9">
        <v>12999</v>
      </c>
      <c r="O40" s="11">
        <v>45549</v>
      </c>
      <c r="P40" s="10">
        <v>45562</v>
      </c>
      <c r="Q40" s="10">
        <v>45567</v>
      </c>
      <c r="R40" s="13">
        <f t="shared" si="1"/>
        <v>18</v>
      </c>
      <c r="S40" s="13">
        <f>IF(OR(Table1_1[[#This Row],[تاريخ التسليم]]="فشل التسليم",Table1_1[[#This Row],[ميعاد التسليم]]="",Table1_1[[#This Row],[تاريخ التسليم]]=""),"",Table1_1[[#This Row],[تاريخ التسليم]]-Table1_1[[#This Row],[ميعاد التسليم]])</f>
        <v>5</v>
      </c>
      <c r="T40"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40" t="s">
        <v>126</v>
      </c>
      <c r="V40" t="s">
        <v>125</v>
      </c>
    </row>
    <row r="41" spans="1:22" hidden="1" x14ac:dyDescent="0.3">
      <c r="A41" s="16">
        <v>40</v>
      </c>
      <c r="B41" t="s">
        <v>46</v>
      </c>
      <c r="C41" t="s">
        <v>230</v>
      </c>
      <c r="D41" t="s">
        <v>47</v>
      </c>
      <c r="E41" t="s">
        <v>226</v>
      </c>
      <c r="F41" t="s">
        <v>5</v>
      </c>
      <c r="G41" s="9" t="s">
        <v>11</v>
      </c>
      <c r="H41" t="s">
        <v>94</v>
      </c>
      <c r="I41" t="s">
        <v>96</v>
      </c>
      <c r="J41">
        <v>90</v>
      </c>
      <c r="K41" t="s">
        <v>106</v>
      </c>
      <c r="L41" t="s">
        <v>108</v>
      </c>
      <c r="N41" s="9">
        <v>5999</v>
      </c>
      <c r="O41" s="11">
        <v>45547</v>
      </c>
      <c r="P41" s="10">
        <v>45564</v>
      </c>
      <c r="Q41" s="10" t="s">
        <v>123</v>
      </c>
      <c r="R41" s="13" t="str">
        <f t="shared" si="1"/>
        <v/>
      </c>
      <c r="S41" s="13" t="str">
        <f>IF(OR(Table1_1[[#This Row],[تاريخ التسليم]]="فشل التسليم",Table1_1[[#This Row],[ميعاد التسليم]]="",Table1_1[[#This Row],[تاريخ التسليم]]=""),"",Table1_1[[#This Row],[تاريخ التسليم]]-Table1_1[[#This Row],[ميعاد التسليم]])</f>
        <v/>
      </c>
      <c r="T41"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41" t="s">
        <v>24</v>
      </c>
      <c r="V41" t="s">
        <v>180</v>
      </c>
    </row>
    <row r="42" spans="1:22" hidden="1" x14ac:dyDescent="0.3">
      <c r="A42" s="16">
        <v>41</v>
      </c>
      <c r="B42" t="s">
        <v>48</v>
      </c>
      <c r="C42" t="s">
        <v>230</v>
      </c>
      <c r="D42" t="s">
        <v>49</v>
      </c>
      <c r="E42" t="s">
        <v>222</v>
      </c>
      <c r="F42" t="s">
        <v>5</v>
      </c>
      <c r="G42" s="9" t="s">
        <v>241</v>
      </c>
      <c r="H42" t="s">
        <v>94</v>
      </c>
      <c r="I42" t="s">
        <v>99</v>
      </c>
      <c r="J42">
        <v>100</v>
      </c>
      <c r="K42" t="s">
        <v>106</v>
      </c>
      <c r="L42" t="s">
        <v>108</v>
      </c>
      <c r="N42" s="9">
        <v>11949</v>
      </c>
      <c r="O42" s="11">
        <v>45547</v>
      </c>
      <c r="P42" s="10">
        <v>45564</v>
      </c>
      <c r="Q42" s="10">
        <v>45567</v>
      </c>
      <c r="R42" s="13">
        <f t="shared" si="1"/>
        <v>20</v>
      </c>
      <c r="S42" s="13">
        <f>IF(OR(Table1_1[[#This Row],[تاريخ التسليم]]="فشل التسليم",Table1_1[[#This Row],[ميعاد التسليم]]="",Table1_1[[#This Row],[تاريخ التسليم]]=""),"",Table1_1[[#This Row],[تاريخ التسليم]]-Table1_1[[#This Row],[ميعاد التسليم]])</f>
        <v>3</v>
      </c>
      <c r="T42"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42" t="s">
        <v>126</v>
      </c>
      <c r="V42" t="s">
        <v>125</v>
      </c>
    </row>
    <row r="43" spans="1:22" hidden="1" x14ac:dyDescent="0.3">
      <c r="A43" s="16">
        <v>42</v>
      </c>
      <c r="B43" t="s">
        <v>48</v>
      </c>
      <c r="C43" t="s">
        <v>230</v>
      </c>
      <c r="D43" t="s">
        <v>49</v>
      </c>
      <c r="E43" t="s">
        <v>222</v>
      </c>
      <c r="F43" t="s">
        <v>5</v>
      </c>
      <c r="G43" s="9" t="s">
        <v>241</v>
      </c>
      <c r="H43" t="s">
        <v>94</v>
      </c>
      <c r="I43" t="s">
        <v>99</v>
      </c>
      <c r="J43">
        <v>100</v>
      </c>
      <c r="K43" t="s">
        <v>106</v>
      </c>
      <c r="L43" t="s">
        <v>108</v>
      </c>
      <c r="N43" s="9">
        <v>11949</v>
      </c>
      <c r="O43" s="11">
        <v>45547</v>
      </c>
      <c r="P43" s="10">
        <v>45564</v>
      </c>
      <c r="Q43" s="10">
        <v>45567</v>
      </c>
      <c r="R43" s="13">
        <f t="shared" si="1"/>
        <v>20</v>
      </c>
      <c r="S43" s="13">
        <f>IF(OR(Table1_1[[#This Row],[تاريخ التسليم]]="فشل التسليم",Table1_1[[#This Row],[ميعاد التسليم]]="",Table1_1[[#This Row],[تاريخ التسليم]]=""),"",Table1_1[[#This Row],[تاريخ التسليم]]-Table1_1[[#This Row],[ميعاد التسليم]])</f>
        <v>3</v>
      </c>
      <c r="T43"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43" t="s">
        <v>126</v>
      </c>
      <c r="V43" t="s">
        <v>125</v>
      </c>
    </row>
    <row r="44" spans="1:22" hidden="1" x14ac:dyDescent="0.3">
      <c r="A44" s="16">
        <v>43</v>
      </c>
      <c r="B44" t="s">
        <v>21</v>
      </c>
      <c r="C44" t="s">
        <v>230</v>
      </c>
      <c r="D44" t="s">
        <v>55</v>
      </c>
      <c r="E44" t="s">
        <v>226</v>
      </c>
      <c r="F44" t="s">
        <v>5</v>
      </c>
      <c r="G44" s="9" t="s">
        <v>11</v>
      </c>
      <c r="H44" t="s">
        <v>94</v>
      </c>
      <c r="I44" t="s">
        <v>99</v>
      </c>
      <c r="J44">
        <v>80</v>
      </c>
      <c r="K44" t="s">
        <v>111</v>
      </c>
      <c r="L44" t="s">
        <v>107</v>
      </c>
      <c r="N44" s="9">
        <v>16599</v>
      </c>
      <c r="O44" s="11">
        <v>45548</v>
      </c>
      <c r="P44" s="10">
        <v>45565</v>
      </c>
      <c r="Q44" s="10">
        <v>45568</v>
      </c>
      <c r="R44" s="13">
        <f t="shared" si="1"/>
        <v>20</v>
      </c>
      <c r="S44" s="13">
        <f>IF(OR(Table1_1[[#This Row],[تاريخ التسليم]]="فشل التسليم",Table1_1[[#This Row],[ميعاد التسليم]]="",Table1_1[[#This Row],[تاريخ التسليم]]=""),"",Table1_1[[#This Row],[تاريخ التسليم]]-Table1_1[[#This Row],[ميعاد التسليم]])</f>
        <v>3</v>
      </c>
      <c r="T44"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44" t="s">
        <v>126</v>
      </c>
      <c r="V44" t="s">
        <v>125</v>
      </c>
    </row>
    <row r="45" spans="1:22" hidden="1" x14ac:dyDescent="0.3">
      <c r="A45" s="16">
        <v>44</v>
      </c>
      <c r="B45" t="s">
        <v>56</v>
      </c>
      <c r="C45" t="s">
        <v>230</v>
      </c>
      <c r="D45" t="s">
        <v>17</v>
      </c>
      <c r="E45" t="s">
        <v>225</v>
      </c>
      <c r="F45" t="s">
        <v>5</v>
      </c>
      <c r="G45" s="9" t="s">
        <v>11</v>
      </c>
      <c r="H45" t="s">
        <v>94</v>
      </c>
      <c r="I45" t="s">
        <v>99</v>
      </c>
      <c r="J45">
        <v>80</v>
      </c>
      <c r="K45" t="s">
        <v>106</v>
      </c>
      <c r="L45" t="s">
        <v>107</v>
      </c>
      <c r="N45" s="9">
        <v>10999</v>
      </c>
      <c r="O45" s="11">
        <v>45548</v>
      </c>
      <c r="P45" s="10">
        <v>45565</v>
      </c>
      <c r="Q45" s="10">
        <v>45581</v>
      </c>
      <c r="R45" s="13">
        <f t="shared" si="1"/>
        <v>33</v>
      </c>
      <c r="S45" s="13">
        <f>IF(OR(Table1_1[[#This Row],[تاريخ التسليم]]="فشل التسليم",Table1_1[[#This Row],[ميعاد التسليم]]="",Table1_1[[#This Row],[تاريخ التسليم]]=""),"",Table1_1[[#This Row],[تاريخ التسليم]]-Table1_1[[#This Row],[ميعاد التسليم]])</f>
        <v>16</v>
      </c>
      <c r="T45"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45" t="s">
        <v>18</v>
      </c>
      <c r="V45" t="s">
        <v>125</v>
      </c>
    </row>
    <row r="46" spans="1:22" hidden="1" x14ac:dyDescent="0.3">
      <c r="A46" s="16">
        <v>45</v>
      </c>
      <c r="B46" t="s">
        <v>57</v>
      </c>
      <c r="C46" t="s">
        <v>230</v>
      </c>
      <c r="D46" t="s">
        <v>58</v>
      </c>
      <c r="E46" t="s">
        <v>135</v>
      </c>
      <c r="F46" t="s">
        <v>5</v>
      </c>
      <c r="G46" s="9" t="s">
        <v>11</v>
      </c>
      <c r="H46" t="s">
        <v>94</v>
      </c>
      <c r="I46" t="s">
        <v>99</v>
      </c>
      <c r="J46">
        <v>140</v>
      </c>
      <c r="K46" t="s">
        <v>106</v>
      </c>
      <c r="L46" t="s">
        <v>110</v>
      </c>
      <c r="N46" s="9">
        <v>13099</v>
      </c>
      <c r="O46" s="11">
        <v>45548</v>
      </c>
      <c r="P46" s="10">
        <v>45565</v>
      </c>
      <c r="Q46" s="10">
        <v>45568</v>
      </c>
      <c r="R46" s="13">
        <f t="shared" si="1"/>
        <v>20</v>
      </c>
      <c r="S46" s="13">
        <f>IF(OR(Table1_1[[#This Row],[تاريخ التسليم]]="فشل التسليم",Table1_1[[#This Row],[ميعاد التسليم]]="",Table1_1[[#This Row],[تاريخ التسليم]]=""),"",Table1_1[[#This Row],[تاريخ التسليم]]-Table1_1[[#This Row],[ميعاد التسليم]])</f>
        <v>3</v>
      </c>
      <c r="T46"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46" t="s">
        <v>18</v>
      </c>
      <c r="V46" t="s">
        <v>125</v>
      </c>
    </row>
    <row r="47" spans="1:22" hidden="1" x14ac:dyDescent="0.3">
      <c r="A47" s="16">
        <v>46</v>
      </c>
      <c r="B47" t="s">
        <v>60</v>
      </c>
      <c r="C47" t="s">
        <v>230</v>
      </c>
      <c r="D47" t="s">
        <v>26</v>
      </c>
      <c r="E47" t="s">
        <v>222</v>
      </c>
      <c r="F47" t="s">
        <v>5</v>
      </c>
      <c r="G47" s="9" t="s">
        <v>11</v>
      </c>
      <c r="H47" t="s">
        <v>94</v>
      </c>
      <c r="I47" t="s">
        <v>98</v>
      </c>
      <c r="J47">
        <v>120</v>
      </c>
      <c r="K47" t="s">
        <v>106</v>
      </c>
      <c r="L47" t="s">
        <v>113</v>
      </c>
      <c r="N47" s="9">
        <v>13849</v>
      </c>
      <c r="O47" s="11">
        <v>45548</v>
      </c>
      <c r="P47" s="10">
        <v>45565</v>
      </c>
      <c r="Q47" s="10">
        <v>45585</v>
      </c>
      <c r="R47" s="13">
        <f t="shared" si="1"/>
        <v>37</v>
      </c>
      <c r="S47" s="13">
        <f>IF(OR(Table1_1[[#This Row],[تاريخ التسليم]]="فشل التسليم",Table1_1[[#This Row],[ميعاد التسليم]]="",Table1_1[[#This Row],[تاريخ التسليم]]=""),"",Table1_1[[#This Row],[تاريخ التسليم]]-Table1_1[[#This Row],[ميعاد التسليم]])</f>
        <v>20</v>
      </c>
      <c r="T47"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47" t="s">
        <v>126</v>
      </c>
      <c r="V47" t="s">
        <v>125</v>
      </c>
    </row>
    <row r="48" spans="1:22" hidden="1" x14ac:dyDescent="0.3">
      <c r="A48" s="16">
        <v>47</v>
      </c>
      <c r="B48" t="s">
        <v>62</v>
      </c>
      <c r="C48" t="s">
        <v>230</v>
      </c>
      <c r="D48" t="s">
        <v>63</v>
      </c>
      <c r="E48" t="s">
        <v>226</v>
      </c>
      <c r="F48" t="s">
        <v>5</v>
      </c>
      <c r="G48" s="9" t="s">
        <v>11</v>
      </c>
      <c r="H48" t="s">
        <v>94</v>
      </c>
      <c r="K48" t="s">
        <v>105</v>
      </c>
      <c r="L48" t="s">
        <v>108</v>
      </c>
      <c r="M48" t="s">
        <v>112</v>
      </c>
      <c r="N48" s="9">
        <v>21999</v>
      </c>
      <c r="O48" s="11">
        <v>45548</v>
      </c>
      <c r="P48" s="10">
        <v>45565</v>
      </c>
      <c r="Q48" s="10">
        <v>45565</v>
      </c>
      <c r="R48" s="13">
        <f t="shared" si="1"/>
        <v>17</v>
      </c>
      <c r="S48" s="13">
        <f>IF(OR(Table1_1[[#This Row],[تاريخ التسليم]]="فشل التسليم",Table1_1[[#This Row],[ميعاد التسليم]]="",Table1_1[[#This Row],[تاريخ التسليم]]=""),"",Table1_1[[#This Row],[تاريخ التسليم]]-Table1_1[[#This Row],[ميعاد التسليم]])</f>
        <v>0</v>
      </c>
      <c r="T48" s="13" t="str">
        <f>IF(Table1_1[[#This Row],[تاريخ التسليم]]="فشل التسليم","Failed",IF(Table1_1[[#This Row],[تاريخ التسليم]]&lt;Table1_1[[#This Row],[ميعاد التسليم]],"Early",IF(Table1_1[[#This Row],[تاريخ التسليم]]=Table1_1[[#This Row],[ميعاد التسليم]],"On Time","Late")))</f>
        <v>On Time</v>
      </c>
      <c r="U48" t="s">
        <v>126</v>
      </c>
      <c r="V48" t="s">
        <v>125</v>
      </c>
    </row>
    <row r="49" spans="1:22" hidden="1" x14ac:dyDescent="0.3">
      <c r="A49" s="16">
        <v>48</v>
      </c>
      <c r="B49" t="s">
        <v>67</v>
      </c>
      <c r="C49" t="s">
        <v>230</v>
      </c>
      <c r="D49" t="s">
        <v>26</v>
      </c>
      <c r="E49" t="s">
        <v>222</v>
      </c>
      <c r="F49" t="s">
        <v>5</v>
      </c>
      <c r="G49" s="9" t="s">
        <v>11</v>
      </c>
      <c r="H49" t="s">
        <v>94</v>
      </c>
      <c r="I49" t="s">
        <v>99</v>
      </c>
      <c r="J49">
        <v>80</v>
      </c>
      <c r="K49" t="s">
        <v>106</v>
      </c>
      <c r="L49" t="s">
        <v>107</v>
      </c>
      <c r="N49" s="9">
        <v>10999</v>
      </c>
      <c r="O49" s="11">
        <v>45548</v>
      </c>
      <c r="P49" s="10">
        <v>45565</v>
      </c>
      <c r="Q49" s="10">
        <v>45580</v>
      </c>
      <c r="R49" s="13">
        <f t="shared" si="1"/>
        <v>32</v>
      </c>
      <c r="S49" s="13">
        <f>IF(OR(Table1_1[[#This Row],[تاريخ التسليم]]="فشل التسليم",Table1_1[[#This Row],[ميعاد التسليم]]="",Table1_1[[#This Row],[تاريخ التسليم]]=""),"",Table1_1[[#This Row],[تاريخ التسليم]]-Table1_1[[#This Row],[ميعاد التسليم]])</f>
        <v>15</v>
      </c>
      <c r="T49"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49" t="s">
        <v>126</v>
      </c>
      <c r="V49" t="s">
        <v>125</v>
      </c>
    </row>
    <row r="50" spans="1:22" hidden="1" x14ac:dyDescent="0.3">
      <c r="A50" s="16">
        <v>49</v>
      </c>
      <c r="B50" t="s">
        <v>68</v>
      </c>
      <c r="C50" t="s">
        <v>230</v>
      </c>
      <c r="D50" t="s">
        <v>66</v>
      </c>
      <c r="E50" t="s">
        <v>226</v>
      </c>
      <c r="F50" t="s">
        <v>5</v>
      </c>
      <c r="G50" s="9" t="s">
        <v>11</v>
      </c>
      <c r="H50" t="s">
        <v>94</v>
      </c>
      <c r="I50" t="s">
        <v>99</v>
      </c>
      <c r="J50">
        <v>90</v>
      </c>
      <c r="K50" t="s">
        <v>111</v>
      </c>
      <c r="L50" t="s">
        <v>108</v>
      </c>
      <c r="N50" s="9">
        <v>17249</v>
      </c>
      <c r="O50" s="11">
        <v>45548</v>
      </c>
      <c r="P50" s="10">
        <v>45565</v>
      </c>
      <c r="Q50" s="10">
        <v>45569</v>
      </c>
      <c r="R50" s="13">
        <f t="shared" si="1"/>
        <v>21</v>
      </c>
      <c r="S50" s="13">
        <f>IF(OR(Table1_1[[#This Row],[تاريخ التسليم]]="فشل التسليم",Table1_1[[#This Row],[ميعاد التسليم]]="",Table1_1[[#This Row],[تاريخ التسليم]]=""),"",Table1_1[[#This Row],[تاريخ التسليم]]-Table1_1[[#This Row],[ميعاد التسليم]])</f>
        <v>4</v>
      </c>
      <c r="T50"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50" t="s">
        <v>126</v>
      </c>
      <c r="V50" t="s">
        <v>125</v>
      </c>
    </row>
    <row r="51" spans="1:22" x14ac:dyDescent="0.3">
      <c r="A51" s="16">
        <v>50</v>
      </c>
      <c r="B51" t="s">
        <v>87</v>
      </c>
      <c r="C51" t="s">
        <v>230</v>
      </c>
      <c r="D51" t="s">
        <v>88</v>
      </c>
      <c r="E51" t="s">
        <v>222</v>
      </c>
      <c r="F51" t="s">
        <v>5</v>
      </c>
      <c r="G51" s="9" t="s">
        <v>11</v>
      </c>
      <c r="H51" s="5" t="s">
        <v>204</v>
      </c>
      <c r="K51" t="s">
        <v>119</v>
      </c>
      <c r="N51" s="9">
        <v>8349</v>
      </c>
      <c r="O51" s="11">
        <v>45549</v>
      </c>
      <c r="P51" s="10">
        <v>45581</v>
      </c>
      <c r="Q51" s="10">
        <v>45586</v>
      </c>
      <c r="R51" s="13">
        <f t="shared" si="1"/>
        <v>37</v>
      </c>
      <c r="S51" s="13">
        <f>IF(OR(Table1_1[[#This Row],[تاريخ التسليم]]="فشل التسليم",Table1_1[[#This Row],[ميعاد التسليم]]="",Table1_1[[#This Row],[تاريخ التسليم]]=""),"",Table1_1[[#This Row],[تاريخ التسليم]]-Table1_1[[#This Row],[ميعاد التسليم]])</f>
        <v>5</v>
      </c>
      <c r="T51"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51" t="s">
        <v>126</v>
      </c>
      <c r="V51" t="s">
        <v>125</v>
      </c>
    </row>
    <row r="52" spans="1:22" x14ac:dyDescent="0.3">
      <c r="A52" s="16">
        <v>51</v>
      </c>
      <c r="B52" t="s">
        <v>74</v>
      </c>
      <c r="C52" t="s">
        <v>230</v>
      </c>
      <c r="D52" t="s">
        <v>40</v>
      </c>
      <c r="E52" t="s">
        <v>226</v>
      </c>
      <c r="F52" t="s">
        <v>5</v>
      </c>
      <c r="G52" s="9" t="s">
        <v>11</v>
      </c>
      <c r="H52" s="5" t="s">
        <v>204</v>
      </c>
      <c r="K52" t="s">
        <v>120</v>
      </c>
      <c r="N52" s="9">
        <v>7849</v>
      </c>
      <c r="O52" s="11">
        <v>45549</v>
      </c>
      <c r="P52" s="10">
        <v>45594</v>
      </c>
      <c r="Q52" s="10">
        <v>45595</v>
      </c>
      <c r="R52" s="13">
        <f t="shared" si="1"/>
        <v>46</v>
      </c>
      <c r="S52" s="13">
        <f>IF(OR(Table1_1[[#This Row],[تاريخ التسليم]]="فشل التسليم",Table1_1[[#This Row],[ميعاد التسليم]]="",Table1_1[[#This Row],[تاريخ التسليم]]=""),"",Table1_1[[#This Row],[تاريخ التسليم]]-Table1_1[[#This Row],[ميعاد التسليم]])</f>
        <v>1</v>
      </c>
      <c r="T52"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52" t="s">
        <v>126</v>
      </c>
      <c r="V52" t="s">
        <v>125</v>
      </c>
    </row>
    <row r="53" spans="1:22" hidden="1" x14ac:dyDescent="0.3">
      <c r="A53" s="16">
        <v>52</v>
      </c>
      <c r="B53" t="s">
        <v>75</v>
      </c>
      <c r="C53" t="s">
        <v>230</v>
      </c>
      <c r="D53" t="s">
        <v>26</v>
      </c>
      <c r="E53" t="s">
        <v>222</v>
      </c>
      <c r="F53" t="s">
        <v>5</v>
      </c>
      <c r="G53" s="9" t="s">
        <v>71</v>
      </c>
      <c r="H53" t="s">
        <v>94</v>
      </c>
      <c r="K53" t="s">
        <v>95</v>
      </c>
      <c r="L53" t="s">
        <v>108</v>
      </c>
      <c r="M53" t="s">
        <v>108</v>
      </c>
      <c r="N53" s="9">
        <v>9399</v>
      </c>
      <c r="O53" s="11">
        <v>45549</v>
      </c>
      <c r="P53" s="10">
        <v>45594</v>
      </c>
      <c r="Q53" s="10">
        <v>45580</v>
      </c>
      <c r="R53" s="13">
        <f t="shared" si="1"/>
        <v>31</v>
      </c>
      <c r="S53" s="13">
        <f>IF(OR(Table1_1[[#This Row],[تاريخ التسليم]]="فشل التسليم",Table1_1[[#This Row],[ميعاد التسليم]]="",Table1_1[[#This Row],[تاريخ التسليم]]=""),"",Table1_1[[#This Row],[تاريخ التسليم]]-Table1_1[[#This Row],[ميعاد التسليم]])</f>
        <v>-14</v>
      </c>
      <c r="T53"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53" t="s">
        <v>126</v>
      </c>
      <c r="V53" t="s">
        <v>125</v>
      </c>
    </row>
    <row r="54" spans="1:22" hidden="1" x14ac:dyDescent="0.3">
      <c r="A54" s="16">
        <v>53</v>
      </c>
      <c r="B54" t="s">
        <v>76</v>
      </c>
      <c r="C54" t="s">
        <v>230</v>
      </c>
      <c r="D54" t="s">
        <v>77</v>
      </c>
      <c r="E54" t="s">
        <v>222</v>
      </c>
      <c r="F54" t="s">
        <v>5</v>
      </c>
      <c r="G54" s="9" t="s">
        <v>71</v>
      </c>
      <c r="H54" t="s">
        <v>94</v>
      </c>
      <c r="I54" t="s">
        <v>100</v>
      </c>
      <c r="J54">
        <v>140</v>
      </c>
      <c r="K54" t="s">
        <v>97</v>
      </c>
      <c r="L54" t="s">
        <v>108</v>
      </c>
      <c r="N54" s="9">
        <v>11817</v>
      </c>
      <c r="O54" s="11">
        <v>45549</v>
      </c>
      <c r="P54" s="10">
        <v>45594</v>
      </c>
      <c r="Q54" s="10">
        <v>45580</v>
      </c>
      <c r="R54" s="13">
        <f t="shared" si="1"/>
        <v>31</v>
      </c>
      <c r="S54" s="13">
        <f>IF(OR(Table1_1[[#This Row],[تاريخ التسليم]]="فشل التسليم",Table1_1[[#This Row],[ميعاد التسليم]]="",Table1_1[[#This Row],[تاريخ التسليم]]=""),"",Table1_1[[#This Row],[تاريخ التسليم]]-Table1_1[[#This Row],[ميعاد التسليم]])</f>
        <v>-14</v>
      </c>
      <c r="T54"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54" t="s">
        <v>126</v>
      </c>
      <c r="V54" t="s">
        <v>125</v>
      </c>
    </row>
    <row r="55" spans="1:22" x14ac:dyDescent="0.3">
      <c r="A55" s="16">
        <v>54</v>
      </c>
      <c r="B55" t="s">
        <v>78</v>
      </c>
      <c r="C55" t="s">
        <v>230</v>
      </c>
      <c r="D55" t="s">
        <v>55</v>
      </c>
      <c r="E55" t="s">
        <v>226</v>
      </c>
      <c r="F55" t="s">
        <v>5</v>
      </c>
      <c r="G55" s="9" t="s">
        <v>71</v>
      </c>
      <c r="H55" s="5" t="s">
        <v>204</v>
      </c>
      <c r="K55" t="s">
        <v>121</v>
      </c>
      <c r="N55" s="9">
        <v>8349</v>
      </c>
      <c r="O55" s="11">
        <v>45549</v>
      </c>
      <c r="P55" s="10">
        <v>45594</v>
      </c>
      <c r="Q55" s="10">
        <v>45584</v>
      </c>
      <c r="R55" s="13">
        <f t="shared" si="1"/>
        <v>35</v>
      </c>
      <c r="S55" s="13">
        <f>IF(OR(Table1_1[[#This Row],[تاريخ التسليم]]="فشل التسليم",Table1_1[[#This Row],[ميعاد التسليم]]="",Table1_1[[#This Row],[تاريخ التسليم]]=""),"",Table1_1[[#This Row],[تاريخ التسليم]]-Table1_1[[#This Row],[ميعاد التسليم]])</f>
        <v>-10</v>
      </c>
      <c r="T55"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55" t="s">
        <v>126</v>
      </c>
      <c r="V55" t="s">
        <v>125</v>
      </c>
    </row>
    <row r="56" spans="1:22" hidden="1" x14ac:dyDescent="0.3">
      <c r="A56" s="16">
        <v>55</v>
      </c>
      <c r="B56" t="s">
        <v>80</v>
      </c>
      <c r="C56" t="s">
        <v>230</v>
      </c>
      <c r="D56" t="s">
        <v>81</v>
      </c>
      <c r="E56" t="s">
        <v>226</v>
      </c>
      <c r="F56" t="s">
        <v>5</v>
      </c>
      <c r="G56" s="9" t="s">
        <v>71</v>
      </c>
      <c r="H56" t="s">
        <v>94</v>
      </c>
      <c r="I56" t="s">
        <v>115</v>
      </c>
      <c r="J56">
        <v>120</v>
      </c>
      <c r="K56" t="s">
        <v>97</v>
      </c>
      <c r="L56" t="s">
        <v>107</v>
      </c>
      <c r="N56" s="9">
        <v>17886</v>
      </c>
      <c r="O56" s="11">
        <v>45549</v>
      </c>
      <c r="P56" s="10">
        <v>45594</v>
      </c>
      <c r="Q56" s="10" t="s">
        <v>123</v>
      </c>
      <c r="R56" s="13" t="str">
        <f t="shared" si="1"/>
        <v/>
      </c>
      <c r="S56" s="13" t="str">
        <f>IF(OR(Table1_1[[#This Row],[تاريخ التسليم]]="فشل التسليم",Table1_1[[#This Row],[ميعاد التسليم]]="",Table1_1[[#This Row],[تاريخ التسليم]]=""),"",Table1_1[[#This Row],[تاريخ التسليم]]-Table1_1[[#This Row],[ميعاد التسليم]])</f>
        <v/>
      </c>
      <c r="T56"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56" t="s">
        <v>24</v>
      </c>
      <c r="V56" t="s">
        <v>180</v>
      </c>
    </row>
    <row r="57" spans="1:22" hidden="1" x14ac:dyDescent="0.3">
      <c r="A57" s="16">
        <v>56</v>
      </c>
      <c r="B57" t="s">
        <v>80</v>
      </c>
      <c r="C57" t="s">
        <v>230</v>
      </c>
      <c r="D57" t="s">
        <v>81</v>
      </c>
      <c r="E57" t="s">
        <v>226</v>
      </c>
      <c r="F57" t="s">
        <v>5</v>
      </c>
      <c r="G57" s="9" t="s">
        <v>71</v>
      </c>
      <c r="H57" t="s">
        <v>94</v>
      </c>
      <c r="I57" t="s">
        <v>115</v>
      </c>
      <c r="J57">
        <v>120</v>
      </c>
      <c r="K57" t="s">
        <v>97</v>
      </c>
      <c r="L57" t="s">
        <v>107</v>
      </c>
      <c r="N57" s="9">
        <v>17886</v>
      </c>
      <c r="O57" s="11">
        <v>45549</v>
      </c>
      <c r="P57" s="10">
        <v>45594</v>
      </c>
      <c r="Q57" s="10" t="s">
        <v>123</v>
      </c>
      <c r="R57" s="13" t="str">
        <f t="shared" si="1"/>
        <v/>
      </c>
      <c r="S57" s="13" t="str">
        <f>IF(OR(Table1_1[[#This Row],[تاريخ التسليم]]="فشل التسليم",Table1_1[[#This Row],[ميعاد التسليم]]="",Table1_1[[#This Row],[تاريخ التسليم]]=""),"",Table1_1[[#This Row],[تاريخ التسليم]]-Table1_1[[#This Row],[ميعاد التسليم]])</f>
        <v/>
      </c>
      <c r="T57"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57" t="s">
        <v>24</v>
      </c>
      <c r="V57" t="s">
        <v>180</v>
      </c>
    </row>
    <row r="58" spans="1:22" hidden="1" x14ac:dyDescent="0.3">
      <c r="A58" s="16">
        <v>57</v>
      </c>
      <c r="B58" t="s">
        <v>82</v>
      </c>
      <c r="C58" t="s">
        <v>230</v>
      </c>
      <c r="D58" t="s">
        <v>42</v>
      </c>
      <c r="E58" t="s">
        <v>226</v>
      </c>
      <c r="F58" t="s">
        <v>5</v>
      </c>
      <c r="G58" s="9" t="s">
        <v>11</v>
      </c>
      <c r="H58" t="s">
        <v>94</v>
      </c>
      <c r="I58" t="s">
        <v>100</v>
      </c>
      <c r="J58">
        <v>120</v>
      </c>
      <c r="K58" t="s">
        <v>97</v>
      </c>
      <c r="L58" t="s">
        <v>107</v>
      </c>
      <c r="N58" s="9">
        <v>10987</v>
      </c>
      <c r="O58" s="11">
        <v>45549</v>
      </c>
      <c r="P58" s="10">
        <v>45594</v>
      </c>
      <c r="Q58" s="10">
        <v>45578</v>
      </c>
      <c r="R58" s="13">
        <f t="shared" si="1"/>
        <v>29</v>
      </c>
      <c r="S58" s="13">
        <f>IF(OR(Table1_1[[#This Row],[تاريخ التسليم]]="فشل التسليم",Table1_1[[#This Row],[ميعاد التسليم]]="",Table1_1[[#This Row],[تاريخ التسليم]]=""),"",Table1_1[[#This Row],[تاريخ التسليم]]-Table1_1[[#This Row],[ميعاد التسليم]])</f>
        <v>-16</v>
      </c>
      <c r="T58"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58" t="s">
        <v>126</v>
      </c>
      <c r="V58" t="s">
        <v>125</v>
      </c>
    </row>
    <row r="59" spans="1:22" hidden="1" x14ac:dyDescent="0.3">
      <c r="A59" s="16">
        <v>58</v>
      </c>
      <c r="B59" t="s">
        <v>82</v>
      </c>
      <c r="C59" t="s">
        <v>230</v>
      </c>
      <c r="D59" t="s">
        <v>42</v>
      </c>
      <c r="E59" t="s">
        <v>226</v>
      </c>
      <c r="F59" t="s">
        <v>5</v>
      </c>
      <c r="G59" s="9" t="s">
        <v>11</v>
      </c>
      <c r="H59" t="s">
        <v>94</v>
      </c>
      <c r="I59" t="s">
        <v>100</v>
      </c>
      <c r="J59">
        <v>120</v>
      </c>
      <c r="K59" t="s">
        <v>97</v>
      </c>
      <c r="L59" t="s">
        <v>107</v>
      </c>
      <c r="N59" s="9">
        <v>10987</v>
      </c>
      <c r="O59" s="11">
        <v>45549</v>
      </c>
      <c r="P59" s="10">
        <v>45594</v>
      </c>
      <c r="Q59" s="10">
        <v>45578</v>
      </c>
      <c r="R59" s="13">
        <f t="shared" si="1"/>
        <v>29</v>
      </c>
      <c r="S59" s="13">
        <f>IF(OR(Table1_1[[#This Row],[تاريخ التسليم]]="فشل التسليم",Table1_1[[#This Row],[ميعاد التسليم]]="",Table1_1[[#This Row],[تاريخ التسليم]]=""),"",Table1_1[[#This Row],[تاريخ التسليم]]-Table1_1[[#This Row],[ميعاد التسليم]])</f>
        <v>-16</v>
      </c>
      <c r="T59"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59" t="s">
        <v>126</v>
      </c>
      <c r="V59" t="s">
        <v>125</v>
      </c>
    </row>
    <row r="60" spans="1:22" x14ac:dyDescent="0.3">
      <c r="A60" s="16">
        <v>59</v>
      </c>
      <c r="B60" t="s">
        <v>84</v>
      </c>
      <c r="C60" t="s">
        <v>230</v>
      </c>
      <c r="D60" t="s">
        <v>85</v>
      </c>
      <c r="E60" t="s">
        <v>227</v>
      </c>
      <c r="F60" t="s">
        <v>5</v>
      </c>
      <c r="G60" s="9" t="s">
        <v>11</v>
      </c>
      <c r="H60" s="5" t="s">
        <v>204</v>
      </c>
      <c r="K60" t="s">
        <v>119</v>
      </c>
      <c r="N60" s="9">
        <v>10319</v>
      </c>
      <c r="O60" s="11">
        <v>45549</v>
      </c>
      <c r="P60" s="10">
        <v>45594</v>
      </c>
      <c r="Q60" s="10">
        <v>45584</v>
      </c>
      <c r="R60" s="13">
        <f t="shared" si="1"/>
        <v>35</v>
      </c>
      <c r="S60" s="13">
        <f>IF(OR(Table1_1[[#This Row],[تاريخ التسليم]]="فشل التسليم",Table1_1[[#This Row],[ميعاد التسليم]]="",Table1_1[[#This Row],[تاريخ التسليم]]=""),"",Table1_1[[#This Row],[تاريخ التسليم]]-Table1_1[[#This Row],[ميعاد التسليم]])</f>
        <v>-10</v>
      </c>
      <c r="T60"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60" t="s">
        <v>126</v>
      </c>
      <c r="V60" t="s">
        <v>125</v>
      </c>
    </row>
    <row r="61" spans="1:22" hidden="1" x14ac:dyDescent="0.3">
      <c r="A61" s="16">
        <v>60</v>
      </c>
      <c r="B61" t="s">
        <v>69</v>
      </c>
      <c r="C61" t="s">
        <v>230</v>
      </c>
      <c r="D61" t="s">
        <v>70</v>
      </c>
      <c r="E61" t="s">
        <v>228</v>
      </c>
      <c r="F61" t="s">
        <v>5</v>
      </c>
      <c r="G61" s="9" t="s">
        <v>71</v>
      </c>
      <c r="H61" t="s">
        <v>94</v>
      </c>
      <c r="I61" t="s">
        <v>99</v>
      </c>
      <c r="J61">
        <v>120</v>
      </c>
      <c r="K61" t="s">
        <v>106</v>
      </c>
      <c r="L61" t="s">
        <v>112</v>
      </c>
      <c r="N61" s="9">
        <v>12999</v>
      </c>
      <c r="O61" s="11">
        <v>45549</v>
      </c>
      <c r="P61" s="10">
        <v>45616</v>
      </c>
      <c r="Q61" s="10">
        <v>45582</v>
      </c>
      <c r="R61" s="13">
        <f t="shared" si="1"/>
        <v>33</v>
      </c>
      <c r="S61" s="13">
        <f>IF(OR(Table1_1[[#This Row],[تاريخ التسليم]]="فشل التسليم",Table1_1[[#This Row],[ميعاد التسليم]]="",Table1_1[[#This Row],[تاريخ التسليم]]=""),"",Table1_1[[#This Row],[تاريخ التسليم]]-Table1_1[[#This Row],[ميعاد التسليم]])</f>
        <v>-34</v>
      </c>
      <c r="T61"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61" t="s">
        <v>18</v>
      </c>
      <c r="V61" t="s">
        <v>125</v>
      </c>
    </row>
    <row r="62" spans="1:22" hidden="1" x14ac:dyDescent="0.3">
      <c r="A62" s="16">
        <v>61</v>
      </c>
      <c r="B62" t="s">
        <v>72</v>
      </c>
      <c r="C62" t="s">
        <v>230</v>
      </c>
      <c r="D62" t="s">
        <v>73</v>
      </c>
      <c r="E62" t="s">
        <v>225</v>
      </c>
      <c r="F62" t="s">
        <v>5</v>
      </c>
      <c r="G62" s="9" t="s">
        <v>11</v>
      </c>
      <c r="H62" t="s">
        <v>94</v>
      </c>
      <c r="K62" t="s">
        <v>105</v>
      </c>
      <c r="L62" t="s">
        <v>108</v>
      </c>
      <c r="M62" t="s">
        <v>112</v>
      </c>
      <c r="N62" s="9">
        <v>21999</v>
      </c>
      <c r="O62" s="11">
        <v>45549</v>
      </c>
      <c r="P62" s="10">
        <v>45616</v>
      </c>
      <c r="Q62" s="10" t="s">
        <v>123</v>
      </c>
      <c r="R62" s="13" t="str">
        <f t="shared" si="1"/>
        <v/>
      </c>
      <c r="S62" s="13" t="str">
        <f>IF(OR(Table1_1[[#This Row],[تاريخ التسليم]]="فشل التسليم",Table1_1[[#This Row],[ميعاد التسليم]]="",Table1_1[[#This Row],[تاريخ التسليم]]=""),"",Table1_1[[#This Row],[تاريخ التسليم]]-Table1_1[[#This Row],[ميعاد التسليم]])</f>
        <v/>
      </c>
      <c r="T62"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62" t="s">
        <v>24</v>
      </c>
      <c r="V62" t="s">
        <v>180</v>
      </c>
    </row>
    <row r="63" spans="1:22" hidden="1" x14ac:dyDescent="0.3">
      <c r="A63" s="16">
        <v>62</v>
      </c>
      <c r="B63" t="s">
        <v>79</v>
      </c>
      <c r="C63" t="s">
        <v>230</v>
      </c>
      <c r="D63" t="s">
        <v>55</v>
      </c>
      <c r="E63" t="s">
        <v>226</v>
      </c>
      <c r="F63" t="s">
        <v>5</v>
      </c>
      <c r="G63" s="9" t="s">
        <v>11</v>
      </c>
      <c r="H63" t="s">
        <v>94</v>
      </c>
      <c r="I63" t="s">
        <v>96</v>
      </c>
      <c r="J63">
        <v>100</v>
      </c>
      <c r="K63" t="s">
        <v>106</v>
      </c>
      <c r="L63" t="s">
        <v>112</v>
      </c>
      <c r="N63" s="9">
        <v>12399</v>
      </c>
      <c r="O63" s="11">
        <v>45549</v>
      </c>
      <c r="P63" s="10">
        <v>45616</v>
      </c>
      <c r="Q63" s="10">
        <v>45566</v>
      </c>
      <c r="R63" s="13">
        <f t="shared" si="1"/>
        <v>17</v>
      </c>
      <c r="S63" s="13">
        <f>IF(OR(Table1_1[[#This Row],[تاريخ التسليم]]="فشل التسليم",Table1_1[[#This Row],[ميعاد التسليم]]="",Table1_1[[#This Row],[تاريخ التسليم]]=""),"",Table1_1[[#This Row],[تاريخ التسليم]]-Table1_1[[#This Row],[ميعاد التسليم]])</f>
        <v>-50</v>
      </c>
      <c r="T63"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63" t="s">
        <v>18</v>
      </c>
      <c r="V63" t="s">
        <v>125</v>
      </c>
    </row>
    <row r="64" spans="1:22" hidden="1" x14ac:dyDescent="0.3">
      <c r="A64" s="16">
        <v>63</v>
      </c>
      <c r="B64" t="s">
        <v>83</v>
      </c>
      <c r="C64" t="s">
        <v>230</v>
      </c>
      <c r="D64" t="s">
        <v>42</v>
      </c>
      <c r="E64" t="s">
        <v>226</v>
      </c>
      <c r="F64" t="s">
        <v>5</v>
      </c>
      <c r="G64" s="9" t="s">
        <v>11</v>
      </c>
      <c r="H64" t="s">
        <v>94</v>
      </c>
      <c r="K64" t="s">
        <v>105</v>
      </c>
      <c r="L64" t="s">
        <v>108</v>
      </c>
      <c r="M64" t="s">
        <v>112</v>
      </c>
      <c r="N64" s="9">
        <v>21999</v>
      </c>
      <c r="O64" s="11">
        <v>45549</v>
      </c>
      <c r="P64" s="10">
        <v>45616</v>
      </c>
      <c r="Q64" s="10">
        <v>45574</v>
      </c>
      <c r="R64" s="13">
        <f t="shared" si="1"/>
        <v>25</v>
      </c>
      <c r="S64" s="13">
        <f>IF(OR(Table1_1[[#This Row],[تاريخ التسليم]]="فشل التسليم",Table1_1[[#This Row],[ميعاد التسليم]]="",Table1_1[[#This Row],[تاريخ التسليم]]=""),"",Table1_1[[#This Row],[تاريخ التسليم]]-Table1_1[[#This Row],[ميعاد التسليم]])</f>
        <v>-42</v>
      </c>
      <c r="T64"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64" t="s">
        <v>126</v>
      </c>
      <c r="V64" t="s">
        <v>125</v>
      </c>
    </row>
    <row r="65" spans="1:22" hidden="1" x14ac:dyDescent="0.3">
      <c r="A65" s="16">
        <v>64</v>
      </c>
      <c r="B65" t="s">
        <v>86</v>
      </c>
      <c r="C65" t="s">
        <v>230</v>
      </c>
      <c r="D65" t="s">
        <v>40</v>
      </c>
      <c r="E65" t="s">
        <v>226</v>
      </c>
      <c r="F65" t="s">
        <v>5</v>
      </c>
      <c r="G65" s="9" t="s">
        <v>71</v>
      </c>
      <c r="H65" t="s">
        <v>94</v>
      </c>
      <c r="I65" t="s">
        <v>96</v>
      </c>
      <c r="J65">
        <v>80</v>
      </c>
      <c r="K65" t="s">
        <v>106</v>
      </c>
      <c r="L65" t="s">
        <v>107</v>
      </c>
      <c r="N65" s="9">
        <v>10999</v>
      </c>
      <c r="O65" s="11">
        <v>45549</v>
      </c>
      <c r="P65" s="10">
        <v>45616</v>
      </c>
      <c r="Q65" s="10">
        <v>45581</v>
      </c>
      <c r="R65" s="13">
        <f t="shared" si="1"/>
        <v>32</v>
      </c>
      <c r="S65" s="13">
        <f>IF(OR(Table1_1[[#This Row],[تاريخ التسليم]]="فشل التسليم",Table1_1[[#This Row],[ميعاد التسليم]]="",Table1_1[[#This Row],[تاريخ التسليم]]=""),"",Table1_1[[#This Row],[تاريخ التسليم]]-Table1_1[[#This Row],[ميعاد التسليم]])</f>
        <v>-35</v>
      </c>
      <c r="T65"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65" t="s">
        <v>126</v>
      </c>
      <c r="V65" t="s">
        <v>125</v>
      </c>
    </row>
    <row r="66" spans="1:22" hidden="1" x14ac:dyDescent="0.3">
      <c r="A66" s="16">
        <v>65</v>
      </c>
      <c r="B66" t="s">
        <v>247</v>
      </c>
      <c r="C66" t="s">
        <v>230</v>
      </c>
      <c r="D66" t="s">
        <v>117</v>
      </c>
      <c r="E66" t="s">
        <v>226</v>
      </c>
      <c r="F66" t="s">
        <v>5</v>
      </c>
      <c r="G66" s="9" t="s">
        <v>71</v>
      </c>
      <c r="H66" t="s">
        <v>94</v>
      </c>
      <c r="I66" t="s">
        <v>99</v>
      </c>
      <c r="J66">
        <v>80</v>
      </c>
      <c r="K66" t="s">
        <v>106</v>
      </c>
      <c r="L66" t="s">
        <v>107</v>
      </c>
      <c r="N66" s="9">
        <v>10999</v>
      </c>
      <c r="O66" s="11">
        <v>45550</v>
      </c>
      <c r="P66" s="10">
        <v>45616</v>
      </c>
      <c r="Q66" s="10">
        <v>45581</v>
      </c>
      <c r="R66" s="13">
        <f t="shared" ref="R66:R97" si="2">IF(OR(Q66="فشل التسليم",O66="",Q66=""),"",Q66-O66)</f>
        <v>31</v>
      </c>
      <c r="S66" s="13">
        <f>IF(OR(Table1_1[[#This Row],[تاريخ التسليم]]="فشل التسليم",Table1_1[[#This Row],[ميعاد التسليم]]="",Table1_1[[#This Row],[تاريخ التسليم]]=""),"",Table1_1[[#This Row],[تاريخ التسليم]]-Table1_1[[#This Row],[ميعاد التسليم]])</f>
        <v>-35</v>
      </c>
      <c r="T66"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66" t="s">
        <v>126</v>
      </c>
      <c r="V66" t="s">
        <v>125</v>
      </c>
    </row>
    <row r="67" spans="1:22" hidden="1" x14ac:dyDescent="0.3">
      <c r="A67" s="16">
        <v>66</v>
      </c>
      <c r="B67" t="s">
        <v>247</v>
      </c>
      <c r="C67" t="s">
        <v>230</v>
      </c>
      <c r="D67" t="s">
        <v>117</v>
      </c>
      <c r="E67" t="s">
        <v>226</v>
      </c>
      <c r="F67" t="s">
        <v>5</v>
      </c>
      <c r="G67" s="9" t="s">
        <v>71</v>
      </c>
      <c r="H67" t="s">
        <v>94</v>
      </c>
      <c r="I67" t="s">
        <v>99</v>
      </c>
      <c r="J67">
        <v>80</v>
      </c>
      <c r="K67" t="s">
        <v>106</v>
      </c>
      <c r="L67" t="s">
        <v>107</v>
      </c>
      <c r="N67" s="9">
        <v>10999</v>
      </c>
      <c r="O67" s="11">
        <v>45550</v>
      </c>
      <c r="P67" s="10">
        <v>45616</v>
      </c>
      <c r="Q67" s="10">
        <v>45581</v>
      </c>
      <c r="R67" s="13">
        <f t="shared" si="2"/>
        <v>31</v>
      </c>
      <c r="S67" s="13">
        <f>IF(OR(Table1_1[[#This Row],[تاريخ التسليم]]="فشل التسليم",Table1_1[[#This Row],[ميعاد التسليم]]="",Table1_1[[#This Row],[تاريخ التسليم]]=""),"",Table1_1[[#This Row],[تاريخ التسليم]]-Table1_1[[#This Row],[ميعاد التسليم]])</f>
        <v>-35</v>
      </c>
      <c r="T67"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67" t="s">
        <v>126</v>
      </c>
      <c r="V67" t="s">
        <v>125</v>
      </c>
    </row>
    <row r="68" spans="1:22" hidden="1" x14ac:dyDescent="0.3">
      <c r="A68" s="16">
        <v>67</v>
      </c>
      <c r="B68" t="s">
        <v>248</v>
      </c>
      <c r="C68" t="s">
        <v>230</v>
      </c>
      <c r="D68" t="s">
        <v>118</v>
      </c>
      <c r="E68" t="s">
        <v>226</v>
      </c>
      <c r="F68" t="s">
        <v>5</v>
      </c>
      <c r="G68" s="9" t="s">
        <v>71</v>
      </c>
      <c r="H68" t="s">
        <v>103</v>
      </c>
      <c r="K68" t="s">
        <v>105</v>
      </c>
      <c r="L68" t="s">
        <v>108</v>
      </c>
      <c r="M68" t="s">
        <v>112</v>
      </c>
      <c r="N68" s="9">
        <v>21999</v>
      </c>
      <c r="O68" s="11">
        <v>45550</v>
      </c>
      <c r="P68" s="10">
        <v>45616</v>
      </c>
      <c r="Q68" s="10">
        <v>45584</v>
      </c>
      <c r="R68" s="13">
        <f t="shared" si="2"/>
        <v>34</v>
      </c>
      <c r="S68" s="13">
        <f>IF(OR(Table1_1[[#This Row],[تاريخ التسليم]]="فشل التسليم",Table1_1[[#This Row],[ميعاد التسليم]]="",Table1_1[[#This Row],[تاريخ التسليم]]=""),"",Table1_1[[#This Row],[تاريخ التسليم]]-Table1_1[[#This Row],[ميعاد التسليم]])</f>
        <v>-32</v>
      </c>
      <c r="T68"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68" t="s">
        <v>126</v>
      </c>
      <c r="V68" t="s">
        <v>125</v>
      </c>
    </row>
    <row r="69" spans="1:22" x14ac:dyDescent="0.3">
      <c r="A69" s="16">
        <v>68</v>
      </c>
      <c r="B69" t="s">
        <v>124</v>
      </c>
      <c r="C69" t="s">
        <v>230</v>
      </c>
      <c r="D69" t="s">
        <v>91</v>
      </c>
      <c r="E69" t="s">
        <v>135</v>
      </c>
      <c r="F69" t="s">
        <v>5</v>
      </c>
      <c r="G69" s="9" t="s">
        <v>241</v>
      </c>
      <c r="H69" s="5" t="s">
        <v>204</v>
      </c>
      <c r="K69" t="s">
        <v>119</v>
      </c>
      <c r="N69" s="9">
        <v>7849</v>
      </c>
      <c r="O69" s="11">
        <v>45551</v>
      </c>
      <c r="P69" s="10">
        <v>45595</v>
      </c>
      <c r="Q69" s="10">
        <v>45610</v>
      </c>
      <c r="R69" s="13">
        <f t="shared" si="2"/>
        <v>59</v>
      </c>
      <c r="S69" s="13">
        <f>IF(OR(Table1_1[[#This Row],[تاريخ التسليم]]="فشل التسليم",Table1_1[[#This Row],[ميعاد التسليم]]="",Table1_1[[#This Row],[تاريخ التسليم]]=""),"",Table1_1[[#This Row],[تاريخ التسليم]]-Table1_1[[#This Row],[ميعاد التسليم]])</f>
        <v>15</v>
      </c>
      <c r="T69"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69" t="s">
        <v>18</v>
      </c>
      <c r="V69" t="s">
        <v>125</v>
      </c>
    </row>
    <row r="70" spans="1:22" hidden="1" x14ac:dyDescent="0.3">
      <c r="A70" s="16">
        <v>69</v>
      </c>
      <c r="B70" t="s">
        <v>52</v>
      </c>
      <c r="C70" t="s">
        <v>231</v>
      </c>
      <c r="D70" t="s">
        <v>127</v>
      </c>
      <c r="E70" t="s">
        <v>227</v>
      </c>
      <c r="F70" t="s">
        <v>36</v>
      </c>
      <c r="G70" s="9" t="s">
        <v>54</v>
      </c>
      <c r="H70" t="s">
        <v>94</v>
      </c>
      <c r="I70" t="s">
        <v>99</v>
      </c>
      <c r="J70">
        <v>80</v>
      </c>
      <c r="K70" t="s">
        <v>106</v>
      </c>
      <c r="L70" t="s">
        <v>107</v>
      </c>
      <c r="N70" s="9">
        <v>5074</v>
      </c>
      <c r="O70" s="11">
        <v>45556</v>
      </c>
      <c r="P70" s="10">
        <v>45570</v>
      </c>
      <c r="Q70" s="10">
        <v>45577</v>
      </c>
      <c r="R70" s="13">
        <f t="shared" si="2"/>
        <v>21</v>
      </c>
      <c r="S70" s="13">
        <f>IF(OR(Table1_1[[#This Row],[تاريخ التسليم]]="فشل التسليم",Table1_1[[#This Row],[ميعاد التسليم]]="",Table1_1[[#This Row],[تاريخ التسليم]]=""),"",Table1_1[[#This Row],[تاريخ التسليم]]-Table1_1[[#This Row],[ميعاد التسليم]])</f>
        <v>7</v>
      </c>
      <c r="T70"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70" t="s">
        <v>126</v>
      </c>
      <c r="V70" t="s">
        <v>125</v>
      </c>
    </row>
    <row r="71" spans="1:22" hidden="1" x14ac:dyDescent="0.3">
      <c r="A71" s="16">
        <v>70</v>
      </c>
      <c r="B71" t="s">
        <v>27</v>
      </c>
      <c r="C71" t="s">
        <v>231</v>
      </c>
      <c r="D71" t="s">
        <v>28</v>
      </c>
      <c r="E71" t="s">
        <v>226</v>
      </c>
      <c r="F71" t="s">
        <v>27</v>
      </c>
      <c r="G71" s="9" t="s">
        <v>54</v>
      </c>
      <c r="H71" t="s">
        <v>94</v>
      </c>
      <c r="I71" t="s">
        <v>98</v>
      </c>
      <c r="J71">
        <v>100</v>
      </c>
      <c r="K71" t="s">
        <v>106</v>
      </c>
      <c r="L71" t="s">
        <v>128</v>
      </c>
      <c r="N71" s="9">
        <v>6250</v>
      </c>
      <c r="O71" s="11">
        <v>45558</v>
      </c>
      <c r="P71" s="10">
        <v>45573</v>
      </c>
      <c r="Q71" s="10">
        <v>45582</v>
      </c>
      <c r="R71" s="13">
        <f t="shared" si="2"/>
        <v>24</v>
      </c>
      <c r="S71" s="13">
        <f>IF(OR(Table1_1[[#This Row],[تاريخ التسليم]]="فشل التسليم",Table1_1[[#This Row],[ميعاد التسليم]]="",Table1_1[[#This Row],[تاريخ التسليم]]=""),"",Table1_1[[#This Row],[تاريخ التسليم]]-Table1_1[[#This Row],[ميعاد التسليم]])</f>
        <v>9</v>
      </c>
      <c r="T71"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71" t="s">
        <v>126</v>
      </c>
      <c r="V71" t="s">
        <v>125</v>
      </c>
    </row>
    <row r="72" spans="1:22" hidden="1" x14ac:dyDescent="0.3">
      <c r="A72" s="16">
        <v>71</v>
      </c>
      <c r="B72" t="s">
        <v>27</v>
      </c>
      <c r="C72" t="s">
        <v>231</v>
      </c>
      <c r="D72" t="s">
        <v>28</v>
      </c>
      <c r="E72" t="s">
        <v>226</v>
      </c>
      <c r="F72" t="s">
        <v>27</v>
      </c>
      <c r="G72" s="9" t="s">
        <v>54</v>
      </c>
      <c r="H72" t="s">
        <v>94</v>
      </c>
      <c r="I72" t="s">
        <v>98</v>
      </c>
      <c r="J72">
        <v>100</v>
      </c>
      <c r="K72" t="s">
        <v>106</v>
      </c>
      <c r="L72" t="s">
        <v>128</v>
      </c>
      <c r="N72" s="9">
        <v>6250</v>
      </c>
      <c r="O72" s="11">
        <v>45558</v>
      </c>
      <c r="P72" s="10">
        <v>45573</v>
      </c>
      <c r="Q72" s="10">
        <v>45582</v>
      </c>
      <c r="R72" s="13">
        <f t="shared" si="2"/>
        <v>24</v>
      </c>
      <c r="S72" s="13">
        <f>IF(OR(Table1_1[[#This Row],[تاريخ التسليم]]="فشل التسليم",Table1_1[[#This Row],[ميعاد التسليم]]="",Table1_1[[#This Row],[تاريخ التسليم]]=""),"",Table1_1[[#This Row],[تاريخ التسليم]]-Table1_1[[#This Row],[ميعاد التسليم]])</f>
        <v>9</v>
      </c>
      <c r="T72"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72" t="s">
        <v>126</v>
      </c>
      <c r="V72" t="s">
        <v>125</v>
      </c>
    </row>
    <row r="73" spans="1:22" hidden="1" x14ac:dyDescent="0.3">
      <c r="A73" s="16">
        <v>72</v>
      </c>
      <c r="B73" t="s">
        <v>129</v>
      </c>
      <c r="C73" t="s">
        <v>230</v>
      </c>
      <c r="D73" t="s">
        <v>28</v>
      </c>
      <c r="E73" t="s">
        <v>226</v>
      </c>
      <c r="F73" t="s">
        <v>5</v>
      </c>
      <c r="G73" s="9" t="s">
        <v>241</v>
      </c>
      <c r="H73" t="s">
        <v>94</v>
      </c>
      <c r="I73" t="s">
        <v>115</v>
      </c>
      <c r="J73">
        <v>120</v>
      </c>
      <c r="K73" t="s">
        <v>97</v>
      </c>
      <c r="L73" t="s">
        <v>107</v>
      </c>
      <c r="N73" s="9">
        <v>8943</v>
      </c>
      <c r="O73" s="11">
        <v>45561</v>
      </c>
      <c r="P73" s="10">
        <v>45606</v>
      </c>
      <c r="Q73" s="10">
        <v>45575</v>
      </c>
      <c r="R73" s="13">
        <f t="shared" si="2"/>
        <v>14</v>
      </c>
      <c r="S73" s="13">
        <f>IF(OR(Table1_1[[#This Row],[تاريخ التسليم]]="فشل التسليم",Table1_1[[#This Row],[ميعاد التسليم]]="",Table1_1[[#This Row],[تاريخ التسليم]]=""),"",Table1_1[[#This Row],[تاريخ التسليم]]-Table1_1[[#This Row],[ميعاد التسليم]])</f>
        <v>-31</v>
      </c>
      <c r="T73"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73" t="s">
        <v>126</v>
      </c>
      <c r="V73" t="s">
        <v>125</v>
      </c>
    </row>
    <row r="74" spans="1:22" x14ac:dyDescent="0.3">
      <c r="A74" s="16">
        <v>73</v>
      </c>
      <c r="B74" t="s">
        <v>130</v>
      </c>
      <c r="C74" t="s">
        <v>230</v>
      </c>
      <c r="D74" t="s">
        <v>131</v>
      </c>
      <c r="E74" t="s">
        <v>222</v>
      </c>
      <c r="F74" t="s">
        <v>5</v>
      </c>
      <c r="G74" s="9" t="s">
        <v>241</v>
      </c>
      <c r="H74" s="5" t="s">
        <v>204</v>
      </c>
      <c r="K74" t="s">
        <v>121</v>
      </c>
      <c r="N74" s="9">
        <v>8349</v>
      </c>
      <c r="O74" s="11">
        <v>45561</v>
      </c>
      <c r="P74" s="10">
        <v>45606</v>
      </c>
      <c r="Q74" s="10" t="s">
        <v>123</v>
      </c>
      <c r="R74" s="13" t="str">
        <f t="shared" si="2"/>
        <v/>
      </c>
      <c r="S74" s="13" t="str">
        <f>IF(OR(Table1_1[[#This Row],[تاريخ التسليم]]="فشل التسليم",Table1_1[[#This Row],[ميعاد التسليم]]="",Table1_1[[#This Row],[تاريخ التسليم]]=""),"",Table1_1[[#This Row],[تاريخ التسليم]]-Table1_1[[#This Row],[ميعاد التسليم]])</f>
        <v/>
      </c>
      <c r="T74"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74" t="s">
        <v>24</v>
      </c>
      <c r="V74" t="s">
        <v>180</v>
      </c>
    </row>
    <row r="75" spans="1:22" x14ac:dyDescent="0.3">
      <c r="A75" s="16">
        <v>74</v>
      </c>
      <c r="B75" t="s">
        <v>20</v>
      </c>
      <c r="C75" t="s">
        <v>231</v>
      </c>
      <c r="D75" t="s">
        <v>149</v>
      </c>
      <c r="E75" t="s">
        <v>226</v>
      </c>
      <c r="F75" t="s">
        <v>33</v>
      </c>
      <c r="G75" s="9" t="s">
        <v>11</v>
      </c>
      <c r="H75" t="s">
        <v>103</v>
      </c>
      <c r="K75" t="s">
        <v>132</v>
      </c>
      <c r="M75" t="s">
        <v>142</v>
      </c>
      <c r="N75" s="9">
        <v>14950</v>
      </c>
      <c r="O75" s="11">
        <v>45561</v>
      </c>
      <c r="P75" s="10">
        <v>45579</v>
      </c>
      <c r="Q75" s="10">
        <v>45578</v>
      </c>
      <c r="R75" s="13">
        <f t="shared" si="2"/>
        <v>17</v>
      </c>
      <c r="S75" s="13">
        <f>IF(OR(Table1_1[[#This Row],[تاريخ التسليم]]="فشل التسليم",Table1_1[[#This Row],[ميعاد التسليم]]="",Table1_1[[#This Row],[تاريخ التسليم]]=""),"",Table1_1[[#This Row],[تاريخ التسليم]]-Table1_1[[#This Row],[ميعاد التسليم]])</f>
        <v>-1</v>
      </c>
      <c r="T75"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75" t="s">
        <v>126</v>
      </c>
      <c r="V75" t="s">
        <v>125</v>
      </c>
    </row>
    <row r="76" spans="1:22" hidden="1" x14ac:dyDescent="0.3">
      <c r="A76" s="16">
        <v>75</v>
      </c>
      <c r="B76" t="s">
        <v>20</v>
      </c>
      <c r="C76" t="s">
        <v>231</v>
      </c>
      <c r="E76" t="s">
        <v>226</v>
      </c>
      <c r="F76" t="s">
        <v>33</v>
      </c>
      <c r="G76" s="9" t="s">
        <v>241</v>
      </c>
      <c r="H76" t="s">
        <v>94</v>
      </c>
      <c r="I76" t="s">
        <v>98</v>
      </c>
      <c r="J76">
        <v>100</v>
      </c>
      <c r="K76" t="s">
        <v>106</v>
      </c>
      <c r="L76" t="s">
        <v>108</v>
      </c>
      <c r="N76" s="9">
        <v>9208</v>
      </c>
      <c r="O76" s="11">
        <v>45561</v>
      </c>
      <c r="P76" s="10">
        <v>45579</v>
      </c>
      <c r="Q76" s="10" t="s">
        <v>123</v>
      </c>
      <c r="R76" s="13" t="str">
        <f t="shared" si="2"/>
        <v/>
      </c>
      <c r="S76" s="13" t="str">
        <f>IF(OR(Table1_1[[#This Row],[تاريخ التسليم]]="فشل التسليم",Table1_1[[#This Row],[ميعاد التسليم]]="",Table1_1[[#This Row],[تاريخ التسليم]]=""),"",Table1_1[[#This Row],[تاريخ التسليم]]-Table1_1[[#This Row],[ميعاد التسليم]])</f>
        <v/>
      </c>
      <c r="T76"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76" t="s">
        <v>24</v>
      </c>
      <c r="V76" t="s">
        <v>180</v>
      </c>
    </row>
    <row r="77" spans="1:22" hidden="1" x14ac:dyDescent="0.3">
      <c r="A77" s="16">
        <v>76</v>
      </c>
      <c r="B77" t="s">
        <v>20</v>
      </c>
      <c r="C77" t="s">
        <v>231</v>
      </c>
      <c r="E77" t="s">
        <v>226</v>
      </c>
      <c r="F77" t="s">
        <v>33</v>
      </c>
      <c r="G77" s="9" t="s">
        <v>11</v>
      </c>
      <c r="H77" t="s">
        <v>94</v>
      </c>
      <c r="I77" t="s">
        <v>100</v>
      </c>
      <c r="J77">
        <v>120</v>
      </c>
      <c r="K77" t="s">
        <v>97</v>
      </c>
      <c r="L77" t="s">
        <v>107</v>
      </c>
      <c r="N77" s="9">
        <v>7433</v>
      </c>
      <c r="O77" s="11">
        <v>45564</v>
      </c>
      <c r="P77" s="10">
        <v>45585</v>
      </c>
      <c r="Q77" s="10">
        <v>45586</v>
      </c>
      <c r="R77" s="13">
        <f t="shared" si="2"/>
        <v>22</v>
      </c>
      <c r="S77" s="13">
        <f>IF(OR(Table1_1[[#This Row],[تاريخ التسليم]]="فشل التسليم",Table1_1[[#This Row],[ميعاد التسليم]]="",Table1_1[[#This Row],[تاريخ التسليم]]=""),"",Table1_1[[#This Row],[تاريخ التسليم]]-Table1_1[[#This Row],[ميعاد التسليم]])</f>
        <v>1</v>
      </c>
      <c r="T77"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77" t="s">
        <v>126</v>
      </c>
      <c r="V77" t="s">
        <v>125</v>
      </c>
    </row>
    <row r="78" spans="1:22" hidden="1" x14ac:dyDescent="0.3">
      <c r="A78" s="16">
        <v>77</v>
      </c>
      <c r="B78" t="s">
        <v>52</v>
      </c>
      <c r="C78" t="s">
        <v>231</v>
      </c>
      <c r="D78" t="s">
        <v>127</v>
      </c>
      <c r="E78" t="s">
        <v>227</v>
      </c>
      <c r="F78" t="s">
        <v>36</v>
      </c>
      <c r="G78" s="9" t="s">
        <v>54</v>
      </c>
      <c r="H78" t="s">
        <v>94</v>
      </c>
      <c r="I78" t="s">
        <v>115</v>
      </c>
      <c r="J78">
        <v>120</v>
      </c>
      <c r="K78" t="s">
        <v>97</v>
      </c>
      <c r="L78" t="s">
        <v>107</v>
      </c>
      <c r="N78" s="9">
        <v>4020</v>
      </c>
      <c r="O78" s="11">
        <v>45564</v>
      </c>
      <c r="P78" s="10">
        <v>45577</v>
      </c>
      <c r="Q78" s="10">
        <v>45577</v>
      </c>
      <c r="R78" s="13">
        <f t="shared" si="2"/>
        <v>13</v>
      </c>
      <c r="S78" s="13">
        <f>IF(OR(Table1_1[[#This Row],[تاريخ التسليم]]="فشل التسليم",Table1_1[[#This Row],[ميعاد التسليم]]="",Table1_1[[#This Row],[تاريخ التسليم]]=""),"",Table1_1[[#This Row],[تاريخ التسليم]]-Table1_1[[#This Row],[ميعاد التسليم]])</f>
        <v>0</v>
      </c>
      <c r="T78" s="13" t="str">
        <f>IF(Table1_1[[#This Row],[تاريخ التسليم]]="فشل التسليم","Failed",IF(Table1_1[[#This Row],[تاريخ التسليم]]&lt;Table1_1[[#This Row],[ميعاد التسليم]],"Early",IF(Table1_1[[#This Row],[تاريخ التسليم]]=Table1_1[[#This Row],[ميعاد التسليم]],"On Time","Late")))</f>
        <v>On Time</v>
      </c>
      <c r="U78" t="s">
        <v>126</v>
      </c>
      <c r="V78" t="s">
        <v>125</v>
      </c>
    </row>
    <row r="79" spans="1:22" hidden="1" x14ac:dyDescent="0.3">
      <c r="A79" s="16">
        <v>78</v>
      </c>
      <c r="B79" t="s">
        <v>133</v>
      </c>
      <c r="C79" t="s">
        <v>230</v>
      </c>
      <c r="D79" t="s">
        <v>134</v>
      </c>
      <c r="E79" t="s">
        <v>135</v>
      </c>
      <c r="F79" t="s">
        <v>135</v>
      </c>
      <c r="G79" s="9" t="s">
        <v>241</v>
      </c>
      <c r="H79" t="s">
        <v>94</v>
      </c>
      <c r="I79" t="s">
        <v>136</v>
      </c>
      <c r="J79">
        <v>100</v>
      </c>
      <c r="K79" t="s">
        <v>106</v>
      </c>
      <c r="L79" t="s">
        <v>137</v>
      </c>
      <c r="N79" s="9">
        <v>8544.9054400000005</v>
      </c>
      <c r="O79" s="11">
        <v>45566</v>
      </c>
      <c r="P79" s="10">
        <v>45574</v>
      </c>
      <c r="Q79" s="10">
        <v>45574</v>
      </c>
      <c r="R79" s="13">
        <f t="shared" si="2"/>
        <v>8</v>
      </c>
      <c r="S79" s="13">
        <f>IF(OR(Table1_1[[#This Row],[تاريخ التسليم]]="فشل التسليم",Table1_1[[#This Row],[ميعاد التسليم]]="",Table1_1[[#This Row],[تاريخ التسليم]]=""),"",Table1_1[[#This Row],[تاريخ التسليم]]-Table1_1[[#This Row],[ميعاد التسليم]])</f>
        <v>0</v>
      </c>
      <c r="T79" s="13" t="str">
        <f>IF(Table1_1[[#This Row],[تاريخ التسليم]]="فشل التسليم","Failed",IF(Table1_1[[#This Row],[تاريخ التسليم]]&lt;Table1_1[[#This Row],[ميعاد التسليم]],"Early",IF(Table1_1[[#This Row],[تاريخ التسليم]]=Table1_1[[#This Row],[ميعاد التسليم]],"On Time","Late")))</f>
        <v>On Time</v>
      </c>
      <c r="U79" t="s">
        <v>147</v>
      </c>
      <c r="V79" t="s">
        <v>125</v>
      </c>
    </row>
    <row r="80" spans="1:22" hidden="1" x14ac:dyDescent="0.3">
      <c r="A80" s="16">
        <v>79</v>
      </c>
      <c r="B80" t="s">
        <v>133</v>
      </c>
      <c r="C80" t="s">
        <v>230</v>
      </c>
      <c r="D80" t="s">
        <v>134</v>
      </c>
      <c r="E80" t="s">
        <v>135</v>
      </c>
      <c r="F80" t="s">
        <v>135</v>
      </c>
      <c r="G80" s="9" t="s">
        <v>241</v>
      </c>
      <c r="H80" t="s">
        <v>94</v>
      </c>
      <c r="K80" t="s">
        <v>95</v>
      </c>
      <c r="L80" t="s">
        <v>108</v>
      </c>
      <c r="M80" t="s">
        <v>140</v>
      </c>
      <c r="N80" s="9">
        <v>4600</v>
      </c>
      <c r="O80" s="11">
        <v>45566</v>
      </c>
      <c r="P80" s="10">
        <v>45574</v>
      </c>
      <c r="Q80" s="10">
        <v>45574</v>
      </c>
      <c r="R80" s="13">
        <f t="shared" si="2"/>
        <v>8</v>
      </c>
      <c r="S80" s="13">
        <f>IF(OR(Table1_1[[#This Row],[تاريخ التسليم]]="فشل التسليم",Table1_1[[#This Row],[ميعاد التسليم]]="",Table1_1[[#This Row],[تاريخ التسليم]]=""),"",Table1_1[[#This Row],[تاريخ التسليم]]-Table1_1[[#This Row],[ميعاد التسليم]])</f>
        <v>0</v>
      </c>
      <c r="T80" s="13" t="str">
        <f>IF(Table1_1[[#This Row],[تاريخ التسليم]]="فشل التسليم","Failed",IF(Table1_1[[#This Row],[تاريخ التسليم]]&lt;Table1_1[[#This Row],[ميعاد التسليم]],"Early",IF(Table1_1[[#This Row],[تاريخ التسليم]]=Table1_1[[#This Row],[ميعاد التسليم]],"On Time","Late")))</f>
        <v>On Time</v>
      </c>
      <c r="U80" t="s">
        <v>147</v>
      </c>
      <c r="V80" t="s">
        <v>125</v>
      </c>
    </row>
    <row r="81" spans="1:22" hidden="1" x14ac:dyDescent="0.3">
      <c r="A81" s="16">
        <v>80</v>
      </c>
      <c r="B81" t="s">
        <v>133</v>
      </c>
      <c r="C81" t="s">
        <v>230</v>
      </c>
      <c r="D81" t="s">
        <v>134</v>
      </c>
      <c r="E81" t="s">
        <v>135</v>
      </c>
      <c r="F81" t="s">
        <v>135</v>
      </c>
      <c r="G81" s="9" t="s">
        <v>241</v>
      </c>
      <c r="H81" t="s">
        <v>103</v>
      </c>
      <c r="K81" t="s">
        <v>138</v>
      </c>
      <c r="L81" t="s">
        <v>108</v>
      </c>
      <c r="M81" t="s">
        <v>139</v>
      </c>
      <c r="N81" s="9">
        <v>10000</v>
      </c>
      <c r="O81" s="11">
        <v>45566</v>
      </c>
      <c r="P81" s="10">
        <v>45574</v>
      </c>
      <c r="Q81" s="10">
        <v>45574</v>
      </c>
      <c r="R81" s="13">
        <f t="shared" si="2"/>
        <v>8</v>
      </c>
      <c r="S81" s="13">
        <f>IF(OR(Table1_1[[#This Row],[تاريخ التسليم]]="فشل التسليم",Table1_1[[#This Row],[ميعاد التسليم]]="",Table1_1[[#This Row],[تاريخ التسليم]]=""),"",Table1_1[[#This Row],[تاريخ التسليم]]-Table1_1[[#This Row],[ميعاد التسليم]])</f>
        <v>0</v>
      </c>
      <c r="T81" s="13" t="str">
        <f>IF(Table1_1[[#This Row],[تاريخ التسليم]]="فشل التسليم","Failed",IF(Table1_1[[#This Row],[تاريخ التسليم]]&lt;Table1_1[[#This Row],[ميعاد التسليم]],"Early",IF(Table1_1[[#This Row],[تاريخ التسليم]]=Table1_1[[#This Row],[ميعاد التسليم]],"On Time","Late")))</f>
        <v>On Time</v>
      </c>
      <c r="U81" t="s">
        <v>147</v>
      </c>
      <c r="V81" t="s">
        <v>125</v>
      </c>
    </row>
    <row r="82" spans="1:22" hidden="1" x14ac:dyDescent="0.3">
      <c r="A82" s="16">
        <v>81</v>
      </c>
      <c r="B82" t="s">
        <v>133</v>
      </c>
      <c r="C82" t="s">
        <v>230</v>
      </c>
      <c r="D82" t="s">
        <v>134</v>
      </c>
      <c r="E82" t="s">
        <v>135</v>
      </c>
      <c r="F82" t="s">
        <v>135</v>
      </c>
      <c r="G82" s="9" t="s">
        <v>241</v>
      </c>
      <c r="H82" t="s">
        <v>141</v>
      </c>
      <c r="L82" t="s">
        <v>108</v>
      </c>
      <c r="M82" t="s">
        <v>142</v>
      </c>
      <c r="N82" s="9"/>
      <c r="O82" s="11">
        <v>45566</v>
      </c>
      <c r="P82" s="10">
        <v>45574</v>
      </c>
      <c r="Q82" s="10">
        <v>45574</v>
      </c>
      <c r="R82" s="13">
        <f t="shared" si="2"/>
        <v>8</v>
      </c>
      <c r="S82" s="13">
        <f>IF(OR(Table1_1[[#This Row],[تاريخ التسليم]]="فشل التسليم",Table1_1[[#This Row],[ميعاد التسليم]]="",Table1_1[[#This Row],[تاريخ التسليم]]=""),"",Table1_1[[#This Row],[تاريخ التسليم]]-Table1_1[[#This Row],[ميعاد التسليم]])</f>
        <v>0</v>
      </c>
      <c r="T82" s="13" t="str">
        <f>IF(Table1_1[[#This Row],[تاريخ التسليم]]="فشل التسليم","Failed",IF(Table1_1[[#This Row],[تاريخ التسليم]]&lt;Table1_1[[#This Row],[ميعاد التسليم]],"Early",IF(Table1_1[[#This Row],[تاريخ التسليم]]=Table1_1[[#This Row],[ميعاد التسليم]],"On Time","Late")))</f>
        <v>On Time</v>
      </c>
      <c r="U82" t="s">
        <v>147</v>
      </c>
      <c r="V82" t="s">
        <v>125</v>
      </c>
    </row>
    <row r="83" spans="1:22" hidden="1" x14ac:dyDescent="0.3">
      <c r="A83" s="16">
        <v>82</v>
      </c>
      <c r="B83" t="s">
        <v>143</v>
      </c>
      <c r="C83" t="s">
        <v>230</v>
      </c>
      <c r="D83" t="s">
        <v>144</v>
      </c>
      <c r="E83" t="s">
        <v>226</v>
      </c>
      <c r="F83" t="s">
        <v>5</v>
      </c>
      <c r="G83" s="9" t="s">
        <v>11</v>
      </c>
      <c r="H83" t="s">
        <v>94</v>
      </c>
      <c r="K83" t="s">
        <v>95</v>
      </c>
      <c r="L83" t="s">
        <v>108</v>
      </c>
      <c r="M83" t="s">
        <v>108</v>
      </c>
      <c r="N83" s="9">
        <v>8899</v>
      </c>
      <c r="O83" s="11">
        <v>45568</v>
      </c>
      <c r="P83" s="10">
        <v>45613</v>
      </c>
      <c r="Q83" s="10" t="s">
        <v>123</v>
      </c>
      <c r="R83" s="13" t="str">
        <f t="shared" si="2"/>
        <v/>
      </c>
      <c r="S83" s="13" t="str">
        <f>IF(OR(Table1_1[[#This Row],[تاريخ التسليم]]="فشل التسليم",Table1_1[[#This Row],[ميعاد التسليم]]="",Table1_1[[#This Row],[تاريخ التسليم]]=""),"",Table1_1[[#This Row],[تاريخ التسليم]]-Table1_1[[#This Row],[ميعاد التسليم]])</f>
        <v/>
      </c>
      <c r="T83"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83" t="s">
        <v>24</v>
      </c>
      <c r="V83" t="s">
        <v>180</v>
      </c>
    </row>
    <row r="84" spans="1:22" hidden="1" x14ac:dyDescent="0.3">
      <c r="A84" s="16">
        <v>83</v>
      </c>
      <c r="B84" t="s">
        <v>20</v>
      </c>
      <c r="C84" t="s">
        <v>231</v>
      </c>
      <c r="D84" t="s">
        <v>145</v>
      </c>
      <c r="E84" t="s">
        <v>222</v>
      </c>
      <c r="F84" t="s">
        <v>33</v>
      </c>
      <c r="G84" s="9" t="s">
        <v>11</v>
      </c>
      <c r="H84" t="s">
        <v>103</v>
      </c>
      <c r="K84" t="s">
        <v>132</v>
      </c>
      <c r="L84" t="s">
        <v>108</v>
      </c>
      <c r="M84" t="s">
        <v>146</v>
      </c>
      <c r="N84" s="9">
        <v>14550</v>
      </c>
      <c r="O84" s="11">
        <v>45573</v>
      </c>
      <c r="P84" s="10">
        <v>45594</v>
      </c>
      <c r="Q84" s="10">
        <v>45595</v>
      </c>
      <c r="R84" s="13">
        <f t="shared" si="2"/>
        <v>22</v>
      </c>
      <c r="S84" s="13">
        <f>IF(OR(Table1_1[[#This Row],[تاريخ التسليم]]="فشل التسليم",Table1_1[[#This Row],[ميعاد التسليم]]="",Table1_1[[#This Row],[تاريخ التسليم]]=""),"",Table1_1[[#This Row],[تاريخ التسليم]]-Table1_1[[#This Row],[ميعاد التسليم]])</f>
        <v>1</v>
      </c>
      <c r="T84"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84" t="s">
        <v>126</v>
      </c>
      <c r="V84" t="s">
        <v>125</v>
      </c>
    </row>
    <row r="85" spans="1:22" hidden="1" x14ac:dyDescent="0.3">
      <c r="A85" s="16">
        <v>84</v>
      </c>
      <c r="B85" t="s">
        <v>20</v>
      </c>
      <c r="C85" t="s">
        <v>231</v>
      </c>
      <c r="D85" t="s">
        <v>148</v>
      </c>
      <c r="E85" t="s">
        <v>222</v>
      </c>
      <c r="F85" t="s">
        <v>33</v>
      </c>
      <c r="G85" s="9" t="s">
        <v>241</v>
      </c>
      <c r="H85" t="s">
        <v>103</v>
      </c>
      <c r="K85" t="s">
        <v>132</v>
      </c>
      <c r="L85" t="s">
        <v>108</v>
      </c>
      <c r="M85" t="s">
        <v>146</v>
      </c>
      <c r="N85" s="9">
        <v>14550</v>
      </c>
      <c r="O85" s="11">
        <v>45572</v>
      </c>
      <c r="P85" s="10">
        <v>45594</v>
      </c>
      <c r="Q85" s="10">
        <v>45580</v>
      </c>
      <c r="R85" s="13">
        <f t="shared" si="2"/>
        <v>8</v>
      </c>
      <c r="S85" s="13">
        <f>IF(OR(Table1_1[[#This Row],[تاريخ التسليم]]="فشل التسليم",Table1_1[[#This Row],[ميعاد التسليم]]="",Table1_1[[#This Row],[تاريخ التسليم]]=""),"",Table1_1[[#This Row],[تاريخ التسليم]]-Table1_1[[#This Row],[ميعاد التسليم]])</f>
        <v>-14</v>
      </c>
      <c r="T85"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85" t="s">
        <v>126</v>
      </c>
      <c r="V85" t="s">
        <v>125</v>
      </c>
    </row>
    <row r="86" spans="1:22" hidden="1" x14ac:dyDescent="0.3">
      <c r="A86" s="16">
        <v>85</v>
      </c>
      <c r="B86" t="s">
        <v>20</v>
      </c>
      <c r="C86" t="s">
        <v>231</v>
      </c>
      <c r="E86" t="s">
        <v>226</v>
      </c>
      <c r="F86" t="s">
        <v>33</v>
      </c>
      <c r="G86" s="9" t="s">
        <v>241</v>
      </c>
      <c r="H86" t="s">
        <v>103</v>
      </c>
      <c r="K86" t="s">
        <v>132</v>
      </c>
      <c r="L86" t="s">
        <v>108</v>
      </c>
      <c r="M86" t="s">
        <v>142</v>
      </c>
      <c r="N86" s="9">
        <v>14550</v>
      </c>
      <c r="O86" s="11">
        <v>45575</v>
      </c>
      <c r="P86" s="10">
        <v>45596</v>
      </c>
      <c r="Q86" s="10">
        <v>45598</v>
      </c>
      <c r="R86" s="13">
        <f t="shared" si="2"/>
        <v>23</v>
      </c>
      <c r="S86" s="13">
        <f>IF(OR(Table1_1[[#This Row],[تاريخ التسليم]]="فشل التسليم",Table1_1[[#This Row],[ميعاد التسليم]]="",Table1_1[[#This Row],[تاريخ التسليم]]=""),"",Table1_1[[#This Row],[تاريخ التسليم]]-Table1_1[[#This Row],[ميعاد التسليم]])</f>
        <v>2</v>
      </c>
      <c r="T86"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86" t="s">
        <v>126</v>
      </c>
      <c r="V86" t="s">
        <v>125</v>
      </c>
    </row>
    <row r="87" spans="1:22" hidden="1" x14ac:dyDescent="0.3">
      <c r="A87" s="16">
        <v>86</v>
      </c>
      <c r="B87" t="s">
        <v>249</v>
      </c>
      <c r="C87" t="s">
        <v>230</v>
      </c>
      <c r="D87" t="s">
        <v>63</v>
      </c>
      <c r="E87" t="s">
        <v>226</v>
      </c>
      <c r="F87" t="s">
        <v>5</v>
      </c>
      <c r="G87" s="9" t="s">
        <v>11</v>
      </c>
      <c r="H87" t="s">
        <v>94</v>
      </c>
      <c r="I87" t="s">
        <v>150</v>
      </c>
      <c r="J87" t="s">
        <v>151</v>
      </c>
      <c r="K87" t="s">
        <v>106</v>
      </c>
      <c r="L87" t="s">
        <v>152</v>
      </c>
      <c r="N87" s="9">
        <v>12899</v>
      </c>
      <c r="O87" s="11">
        <v>45578</v>
      </c>
      <c r="P87" s="10">
        <v>45643</v>
      </c>
      <c r="Q87" s="10">
        <v>45598</v>
      </c>
      <c r="R87" s="13">
        <f t="shared" si="2"/>
        <v>20</v>
      </c>
      <c r="S87" s="13">
        <f>IF(OR(Table1_1[[#This Row],[تاريخ التسليم]]="فشل التسليم",Table1_1[[#This Row],[ميعاد التسليم]]="",Table1_1[[#This Row],[تاريخ التسليم]]=""),"",Table1_1[[#This Row],[تاريخ التسليم]]-Table1_1[[#This Row],[ميعاد التسليم]])</f>
        <v>-45</v>
      </c>
      <c r="T87"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87" t="s">
        <v>126</v>
      </c>
      <c r="V87" t="s">
        <v>125</v>
      </c>
    </row>
    <row r="88" spans="1:22" hidden="1" x14ac:dyDescent="0.3">
      <c r="A88" s="16">
        <v>87</v>
      </c>
      <c r="B88" t="s">
        <v>250</v>
      </c>
      <c r="C88" t="s">
        <v>230</v>
      </c>
      <c r="D88" t="s">
        <v>32</v>
      </c>
      <c r="E88" t="s">
        <v>226</v>
      </c>
      <c r="F88" t="s">
        <v>5</v>
      </c>
      <c r="G88" s="9" t="s">
        <v>11</v>
      </c>
      <c r="H88" t="s">
        <v>94</v>
      </c>
      <c r="I88" t="s">
        <v>99</v>
      </c>
      <c r="J88">
        <v>80</v>
      </c>
      <c r="K88" t="s">
        <v>106</v>
      </c>
      <c r="L88" t="s">
        <v>107</v>
      </c>
      <c r="N88" s="9">
        <v>10499</v>
      </c>
      <c r="O88" s="11">
        <v>45581</v>
      </c>
      <c r="P88" s="10">
        <v>45645</v>
      </c>
      <c r="Q88" s="10">
        <v>45586</v>
      </c>
      <c r="R88" s="13">
        <f t="shared" si="2"/>
        <v>5</v>
      </c>
      <c r="S88" s="13">
        <f>IF(OR(Table1_1[[#This Row],[تاريخ التسليم]]="فشل التسليم",Table1_1[[#This Row],[ميعاد التسليم]]="",Table1_1[[#This Row],[تاريخ التسليم]]=""),"",Table1_1[[#This Row],[تاريخ التسليم]]-Table1_1[[#This Row],[ميعاد التسليم]])</f>
        <v>-59</v>
      </c>
      <c r="T88"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88" t="s">
        <v>126</v>
      </c>
      <c r="V88" t="s">
        <v>125</v>
      </c>
    </row>
    <row r="89" spans="1:22" hidden="1" x14ac:dyDescent="0.3">
      <c r="A89" s="16">
        <v>88</v>
      </c>
      <c r="B89" t="s">
        <v>251</v>
      </c>
      <c r="C89" t="s">
        <v>230</v>
      </c>
      <c r="D89" t="s">
        <v>153</v>
      </c>
      <c r="E89" t="s">
        <v>223</v>
      </c>
      <c r="F89" t="s">
        <v>5</v>
      </c>
      <c r="G89" s="9" t="s">
        <v>11</v>
      </c>
      <c r="H89" t="s">
        <v>94</v>
      </c>
      <c r="I89" t="s">
        <v>96</v>
      </c>
      <c r="J89" t="s">
        <v>154</v>
      </c>
      <c r="K89" t="s">
        <v>106</v>
      </c>
      <c r="L89" t="s">
        <v>152</v>
      </c>
      <c r="N89" s="9">
        <v>12899</v>
      </c>
      <c r="O89" s="11">
        <v>45582</v>
      </c>
      <c r="P89" s="10">
        <v>45648</v>
      </c>
      <c r="Q89" s="10">
        <v>45629</v>
      </c>
      <c r="R89" s="13">
        <f t="shared" si="2"/>
        <v>47</v>
      </c>
      <c r="S89" s="13">
        <f>IF(OR(Table1_1[[#This Row],[تاريخ التسليم]]="فشل التسليم",Table1_1[[#This Row],[ميعاد التسليم]]="",Table1_1[[#This Row],[تاريخ التسليم]]=""),"",Table1_1[[#This Row],[تاريخ التسليم]]-Table1_1[[#This Row],[ميعاد التسليم]])</f>
        <v>-19</v>
      </c>
      <c r="T89"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89" t="s">
        <v>18</v>
      </c>
      <c r="V89" t="s">
        <v>125</v>
      </c>
    </row>
    <row r="90" spans="1:22" hidden="1" x14ac:dyDescent="0.3">
      <c r="A90" s="16">
        <v>89</v>
      </c>
      <c r="B90" t="s">
        <v>155</v>
      </c>
      <c r="C90" t="s">
        <v>230</v>
      </c>
      <c r="D90" t="s">
        <v>156</v>
      </c>
      <c r="E90" t="s">
        <v>226</v>
      </c>
      <c r="F90" t="s">
        <v>157</v>
      </c>
      <c r="G90" s="9" t="s">
        <v>241</v>
      </c>
      <c r="H90" t="s">
        <v>94</v>
      </c>
      <c r="I90" t="s">
        <v>158</v>
      </c>
      <c r="J90">
        <v>140</v>
      </c>
      <c r="K90" t="s">
        <v>97</v>
      </c>
      <c r="L90" t="s">
        <v>142</v>
      </c>
      <c r="M90" t="s">
        <v>159</v>
      </c>
      <c r="N90" s="9">
        <v>5135</v>
      </c>
      <c r="O90" s="11">
        <v>45585</v>
      </c>
      <c r="P90" s="10">
        <v>45613</v>
      </c>
      <c r="Q90" s="10">
        <v>45610</v>
      </c>
      <c r="R90" s="13">
        <f t="shared" si="2"/>
        <v>25</v>
      </c>
      <c r="S90" s="13">
        <f>IF(OR(Table1_1[[#This Row],[تاريخ التسليم]]="فشل التسليم",Table1_1[[#This Row],[ميعاد التسليم]]="",Table1_1[[#This Row],[تاريخ التسليم]]=""),"",Table1_1[[#This Row],[تاريخ التسليم]]-Table1_1[[#This Row],[ميعاد التسليم]])</f>
        <v>-3</v>
      </c>
      <c r="T90"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90" t="s">
        <v>126</v>
      </c>
      <c r="V90" t="s">
        <v>125</v>
      </c>
    </row>
    <row r="91" spans="1:22" hidden="1" x14ac:dyDescent="0.3">
      <c r="A91" s="16">
        <v>90</v>
      </c>
      <c r="B91" t="s">
        <v>20</v>
      </c>
      <c r="C91" t="s">
        <v>231</v>
      </c>
      <c r="D91" t="s">
        <v>131</v>
      </c>
      <c r="E91" t="s">
        <v>222</v>
      </c>
      <c r="F91" t="s">
        <v>33</v>
      </c>
      <c r="G91" s="9" t="s">
        <v>241</v>
      </c>
      <c r="H91" t="s">
        <v>94</v>
      </c>
      <c r="I91" t="s">
        <v>160</v>
      </c>
      <c r="J91">
        <v>100</v>
      </c>
      <c r="K91" t="s">
        <v>106</v>
      </c>
      <c r="L91" t="s">
        <v>161</v>
      </c>
      <c r="N91" s="9">
        <v>12777.5</v>
      </c>
      <c r="O91" s="11">
        <v>45587</v>
      </c>
      <c r="P91" s="10">
        <v>45608</v>
      </c>
      <c r="Q91" s="10">
        <v>45614</v>
      </c>
      <c r="R91" s="13">
        <f t="shared" si="2"/>
        <v>27</v>
      </c>
      <c r="S91" s="13">
        <f>IF(OR(Table1_1[[#This Row],[تاريخ التسليم]]="فشل التسليم",Table1_1[[#This Row],[ميعاد التسليم]]="",Table1_1[[#This Row],[تاريخ التسليم]]=""),"",Table1_1[[#This Row],[تاريخ التسليم]]-Table1_1[[#This Row],[ميعاد التسليم]])</f>
        <v>6</v>
      </c>
      <c r="T91"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91" t="s">
        <v>126</v>
      </c>
      <c r="V91" t="s">
        <v>125</v>
      </c>
    </row>
    <row r="92" spans="1:22" hidden="1" x14ac:dyDescent="0.3">
      <c r="A92" s="16">
        <v>91</v>
      </c>
      <c r="B92" t="s">
        <v>20</v>
      </c>
      <c r="C92" t="s">
        <v>231</v>
      </c>
      <c r="D92" t="s">
        <v>131</v>
      </c>
      <c r="E92" t="s">
        <v>222</v>
      </c>
      <c r="F92" t="s">
        <v>33</v>
      </c>
      <c r="G92" s="9" t="s">
        <v>54</v>
      </c>
      <c r="H92" t="s">
        <v>94</v>
      </c>
      <c r="I92" t="s">
        <v>160</v>
      </c>
      <c r="J92">
        <v>100</v>
      </c>
      <c r="K92" t="s">
        <v>106</v>
      </c>
      <c r="L92" t="s">
        <v>161</v>
      </c>
      <c r="N92" s="9">
        <v>12777.5</v>
      </c>
      <c r="O92" s="11">
        <v>45587</v>
      </c>
      <c r="P92" s="10">
        <v>45608</v>
      </c>
      <c r="Q92" s="10">
        <v>45614</v>
      </c>
      <c r="R92" s="13">
        <f t="shared" si="2"/>
        <v>27</v>
      </c>
      <c r="S92" s="13">
        <f>IF(OR(Table1_1[[#This Row],[تاريخ التسليم]]="فشل التسليم",Table1_1[[#This Row],[ميعاد التسليم]]="",Table1_1[[#This Row],[تاريخ التسليم]]=""),"",Table1_1[[#This Row],[تاريخ التسليم]]-Table1_1[[#This Row],[ميعاد التسليم]])</f>
        <v>6</v>
      </c>
      <c r="T92"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92" t="s">
        <v>126</v>
      </c>
      <c r="V92" t="s">
        <v>125</v>
      </c>
    </row>
    <row r="93" spans="1:22" hidden="1" x14ac:dyDescent="0.3">
      <c r="A93" s="16">
        <v>92</v>
      </c>
      <c r="B93" t="s">
        <v>52</v>
      </c>
      <c r="C93" t="s">
        <v>231</v>
      </c>
      <c r="D93" t="s">
        <v>162</v>
      </c>
      <c r="E93" t="s">
        <v>226</v>
      </c>
      <c r="F93" t="s">
        <v>36</v>
      </c>
      <c r="G93" s="9" t="s">
        <v>241</v>
      </c>
      <c r="H93" t="s">
        <v>94</v>
      </c>
      <c r="I93" t="s">
        <v>160</v>
      </c>
      <c r="J93">
        <v>100</v>
      </c>
      <c r="K93" t="s">
        <v>106</v>
      </c>
      <c r="L93" t="s">
        <v>161</v>
      </c>
      <c r="N93" s="9">
        <v>8544.91</v>
      </c>
      <c r="O93" s="11">
        <v>45587</v>
      </c>
      <c r="P93" s="10" t="s">
        <v>163</v>
      </c>
      <c r="Q93" s="10" t="s">
        <v>123</v>
      </c>
      <c r="R93" s="13" t="str">
        <f t="shared" si="2"/>
        <v/>
      </c>
      <c r="S93" s="13" t="str">
        <f>IF(OR(Table1_1[[#This Row],[تاريخ التسليم]]="فشل التسليم",Table1_1[[#This Row],[ميعاد التسليم]]="",Table1_1[[#This Row],[تاريخ التسليم]]=""),"",Table1_1[[#This Row],[تاريخ التسليم]]-Table1_1[[#This Row],[ميعاد التسليم]])</f>
        <v/>
      </c>
      <c r="T93"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93" t="s">
        <v>24</v>
      </c>
      <c r="V93" t="s">
        <v>180</v>
      </c>
    </row>
    <row r="94" spans="1:22" hidden="1" x14ac:dyDescent="0.3">
      <c r="A94" s="16">
        <v>93</v>
      </c>
      <c r="B94" t="s">
        <v>164</v>
      </c>
      <c r="C94" t="s">
        <v>230</v>
      </c>
      <c r="D94" t="s">
        <v>165</v>
      </c>
      <c r="E94" t="s">
        <v>222</v>
      </c>
      <c r="F94" t="s">
        <v>5</v>
      </c>
      <c r="G94" s="9" t="s">
        <v>11</v>
      </c>
      <c r="H94" t="s">
        <v>94</v>
      </c>
      <c r="I94" t="s">
        <v>115</v>
      </c>
      <c r="J94">
        <v>120</v>
      </c>
      <c r="K94" t="s">
        <v>97</v>
      </c>
      <c r="L94" t="s">
        <v>107</v>
      </c>
      <c r="N94" s="9">
        <v>8943</v>
      </c>
      <c r="O94" s="11">
        <v>45586</v>
      </c>
      <c r="P94" s="10">
        <v>45610</v>
      </c>
      <c r="Q94" s="10">
        <v>45614</v>
      </c>
      <c r="R94" s="13">
        <f t="shared" si="2"/>
        <v>28</v>
      </c>
      <c r="S94" s="13">
        <f>IF(OR(Table1_1[[#This Row],[تاريخ التسليم]]="فشل التسليم",Table1_1[[#This Row],[ميعاد التسليم]]="",Table1_1[[#This Row],[تاريخ التسليم]]=""),"",Table1_1[[#This Row],[تاريخ التسليم]]-Table1_1[[#This Row],[ميعاد التسليم]])</f>
        <v>4</v>
      </c>
      <c r="T94"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94" t="s">
        <v>126</v>
      </c>
      <c r="V94" t="s">
        <v>125</v>
      </c>
    </row>
    <row r="95" spans="1:22" hidden="1" x14ac:dyDescent="0.3">
      <c r="A95" s="16">
        <v>94</v>
      </c>
      <c r="B95" t="s">
        <v>20</v>
      </c>
      <c r="C95" t="s">
        <v>231</v>
      </c>
      <c r="E95" t="s">
        <v>222</v>
      </c>
      <c r="F95" t="s">
        <v>33</v>
      </c>
      <c r="G95" s="9" t="s">
        <v>241</v>
      </c>
      <c r="H95" t="s">
        <v>103</v>
      </c>
      <c r="K95" t="s">
        <v>132</v>
      </c>
      <c r="L95" t="s">
        <v>108</v>
      </c>
      <c r="N95" s="9">
        <v>15516</v>
      </c>
      <c r="O95" s="11">
        <v>45589</v>
      </c>
      <c r="P95" s="10">
        <v>45610</v>
      </c>
      <c r="Q95" s="10">
        <v>45595</v>
      </c>
      <c r="R95" s="13">
        <f t="shared" si="2"/>
        <v>6</v>
      </c>
      <c r="S95" s="13">
        <f>IF(OR(Table1_1[[#This Row],[تاريخ التسليم]]="فشل التسليم",Table1_1[[#This Row],[ميعاد التسليم]]="",Table1_1[[#This Row],[تاريخ التسليم]]=""),"",Table1_1[[#This Row],[تاريخ التسليم]]-Table1_1[[#This Row],[ميعاد التسليم]])</f>
        <v>-15</v>
      </c>
      <c r="T95"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95" t="s">
        <v>126</v>
      </c>
      <c r="V95" t="s">
        <v>125</v>
      </c>
    </row>
    <row r="96" spans="1:22" hidden="1" x14ac:dyDescent="0.3">
      <c r="A96" s="16">
        <v>95</v>
      </c>
      <c r="B96" t="s">
        <v>20</v>
      </c>
      <c r="C96" t="s">
        <v>231</v>
      </c>
      <c r="E96" t="s">
        <v>222</v>
      </c>
      <c r="F96" t="s">
        <v>33</v>
      </c>
      <c r="G96" s="9" t="s">
        <v>241</v>
      </c>
      <c r="H96" t="s">
        <v>94</v>
      </c>
      <c r="I96" t="s">
        <v>98</v>
      </c>
      <c r="J96">
        <v>100</v>
      </c>
      <c r="K96" t="s">
        <v>106</v>
      </c>
      <c r="L96" t="s">
        <v>108</v>
      </c>
      <c r="N96" s="9">
        <v>10045</v>
      </c>
      <c r="O96" s="11">
        <v>45591</v>
      </c>
      <c r="P96" s="10">
        <v>45612</v>
      </c>
      <c r="Q96" s="10" t="s">
        <v>123</v>
      </c>
      <c r="R96" s="13" t="str">
        <f t="shared" si="2"/>
        <v/>
      </c>
      <c r="S96" s="13" t="str">
        <f>IF(OR(Table1_1[[#This Row],[تاريخ التسليم]]="فشل التسليم",Table1_1[[#This Row],[ميعاد التسليم]]="",Table1_1[[#This Row],[تاريخ التسليم]]=""),"",Table1_1[[#This Row],[تاريخ التسليم]]-Table1_1[[#This Row],[ميعاد التسليم]])</f>
        <v/>
      </c>
      <c r="T96"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96" t="s">
        <v>24</v>
      </c>
      <c r="V96" t="s">
        <v>180</v>
      </c>
    </row>
    <row r="97" spans="1:22" hidden="1" x14ac:dyDescent="0.3">
      <c r="A97" s="16">
        <v>96</v>
      </c>
      <c r="B97" t="s">
        <v>82</v>
      </c>
      <c r="C97" t="s">
        <v>230</v>
      </c>
      <c r="D97" t="s">
        <v>166</v>
      </c>
      <c r="E97" t="s">
        <v>222</v>
      </c>
      <c r="F97" t="s">
        <v>5</v>
      </c>
      <c r="G97" s="9" t="s">
        <v>241</v>
      </c>
      <c r="H97" t="s">
        <v>94</v>
      </c>
      <c r="I97" t="s">
        <v>98</v>
      </c>
      <c r="J97">
        <v>90</v>
      </c>
      <c r="K97" t="s">
        <v>106</v>
      </c>
      <c r="L97" t="s">
        <v>108</v>
      </c>
      <c r="N97" s="9">
        <v>11649</v>
      </c>
      <c r="O97" s="11">
        <v>45591</v>
      </c>
      <c r="P97" s="10">
        <v>45606</v>
      </c>
      <c r="Q97" s="10">
        <v>45614</v>
      </c>
      <c r="R97" s="13">
        <f t="shared" si="2"/>
        <v>23</v>
      </c>
      <c r="S97" s="13">
        <f>IF(OR(Table1_1[[#This Row],[تاريخ التسليم]]="فشل التسليم",Table1_1[[#This Row],[ميعاد التسليم]]="",Table1_1[[#This Row],[تاريخ التسليم]]=""),"",Table1_1[[#This Row],[تاريخ التسليم]]-Table1_1[[#This Row],[ميعاد التسليم]])</f>
        <v>8</v>
      </c>
      <c r="T97"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97" t="s">
        <v>126</v>
      </c>
      <c r="V97" t="s">
        <v>125</v>
      </c>
    </row>
    <row r="98" spans="1:22" hidden="1" x14ac:dyDescent="0.3">
      <c r="A98" s="16">
        <v>97</v>
      </c>
      <c r="B98" t="s">
        <v>82</v>
      </c>
      <c r="C98" t="s">
        <v>230</v>
      </c>
      <c r="D98" t="s">
        <v>166</v>
      </c>
      <c r="E98" t="s">
        <v>222</v>
      </c>
      <c r="F98" t="s">
        <v>5</v>
      </c>
      <c r="G98" s="9" t="s">
        <v>241</v>
      </c>
      <c r="H98" t="s">
        <v>94</v>
      </c>
      <c r="I98" t="s">
        <v>98</v>
      </c>
      <c r="J98">
        <v>90</v>
      </c>
      <c r="K98" t="s">
        <v>106</v>
      </c>
      <c r="L98" t="s">
        <v>108</v>
      </c>
      <c r="N98" s="9">
        <v>11649</v>
      </c>
      <c r="O98" s="11">
        <v>45591</v>
      </c>
      <c r="P98" s="10">
        <v>45606</v>
      </c>
      <c r="Q98" s="10">
        <v>45614</v>
      </c>
      <c r="R98" s="13">
        <f t="shared" ref="R98:R127" si="3">IF(OR(Q98="فشل التسليم",O98="",Q98=""),"",Q98-O98)</f>
        <v>23</v>
      </c>
      <c r="S98" s="13">
        <f>IF(OR(Table1_1[[#This Row],[تاريخ التسليم]]="فشل التسليم",Table1_1[[#This Row],[ميعاد التسليم]]="",Table1_1[[#This Row],[تاريخ التسليم]]=""),"",Table1_1[[#This Row],[تاريخ التسليم]]-Table1_1[[#This Row],[ميعاد التسليم]])</f>
        <v>8</v>
      </c>
      <c r="T98"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98" t="s">
        <v>126</v>
      </c>
      <c r="V98" t="s">
        <v>125</v>
      </c>
    </row>
    <row r="99" spans="1:22" hidden="1" x14ac:dyDescent="0.3">
      <c r="A99" s="16">
        <v>98</v>
      </c>
      <c r="B99" t="s">
        <v>167</v>
      </c>
      <c r="C99" t="s">
        <v>231</v>
      </c>
      <c r="D99" t="s">
        <v>66</v>
      </c>
      <c r="E99" t="s">
        <v>226</v>
      </c>
      <c r="F99" t="s">
        <v>168</v>
      </c>
      <c r="G99" s="9" t="s">
        <v>241</v>
      </c>
      <c r="H99" t="s">
        <v>94</v>
      </c>
      <c r="I99" t="s">
        <v>100</v>
      </c>
      <c r="J99">
        <v>100</v>
      </c>
      <c r="K99" t="s">
        <v>97</v>
      </c>
      <c r="L99" t="s">
        <v>107</v>
      </c>
      <c r="N99" s="9">
        <v>5100</v>
      </c>
      <c r="O99" s="11">
        <v>45593</v>
      </c>
      <c r="P99" s="10">
        <v>45607</v>
      </c>
      <c r="Q99" s="10">
        <v>45617</v>
      </c>
      <c r="R99" s="13">
        <f t="shared" si="3"/>
        <v>24</v>
      </c>
      <c r="S99" s="13">
        <f>IF(OR(Table1_1[[#This Row],[تاريخ التسليم]]="فشل التسليم",Table1_1[[#This Row],[ميعاد التسليم]]="",Table1_1[[#This Row],[تاريخ التسليم]]=""),"",Table1_1[[#This Row],[تاريخ التسليم]]-Table1_1[[#This Row],[ميعاد التسليم]])</f>
        <v>10</v>
      </c>
      <c r="T99"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99" t="s">
        <v>126</v>
      </c>
      <c r="V99" t="s">
        <v>125</v>
      </c>
    </row>
    <row r="100" spans="1:22" hidden="1" x14ac:dyDescent="0.3">
      <c r="A100" s="16">
        <v>99</v>
      </c>
      <c r="B100" t="s">
        <v>167</v>
      </c>
      <c r="C100" t="s">
        <v>231</v>
      </c>
      <c r="D100" t="s">
        <v>66</v>
      </c>
      <c r="E100" t="s">
        <v>226</v>
      </c>
      <c r="F100" t="s">
        <v>168</v>
      </c>
      <c r="G100" s="9" t="s">
        <v>11</v>
      </c>
      <c r="H100" t="s">
        <v>94</v>
      </c>
      <c r="I100" t="s">
        <v>100</v>
      </c>
      <c r="J100">
        <v>120</v>
      </c>
      <c r="K100" t="s">
        <v>97</v>
      </c>
      <c r="L100" t="s">
        <v>107</v>
      </c>
      <c r="N100" s="9">
        <v>5300</v>
      </c>
      <c r="O100" s="11">
        <v>45593</v>
      </c>
      <c r="P100" s="10">
        <v>45607</v>
      </c>
      <c r="Q100" s="10">
        <v>45617</v>
      </c>
      <c r="R100" s="13">
        <f t="shared" si="3"/>
        <v>24</v>
      </c>
      <c r="S100" s="13">
        <f>IF(OR(Table1_1[[#This Row],[تاريخ التسليم]]="فشل التسليم",Table1_1[[#This Row],[ميعاد التسليم]]="",Table1_1[[#This Row],[تاريخ التسليم]]=""),"",Table1_1[[#This Row],[تاريخ التسليم]]-Table1_1[[#This Row],[ميعاد التسليم]])</f>
        <v>10</v>
      </c>
      <c r="T100"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00" t="s">
        <v>126</v>
      </c>
      <c r="V100" t="s">
        <v>125</v>
      </c>
    </row>
    <row r="101" spans="1:22" hidden="1" x14ac:dyDescent="0.3">
      <c r="A101" s="16">
        <v>100</v>
      </c>
      <c r="B101" t="s">
        <v>169</v>
      </c>
      <c r="C101" t="s">
        <v>230</v>
      </c>
      <c r="D101" t="s">
        <v>174</v>
      </c>
      <c r="E101" t="s">
        <v>226</v>
      </c>
      <c r="F101" t="s">
        <v>5</v>
      </c>
      <c r="G101" s="9" t="s">
        <v>172</v>
      </c>
      <c r="H101" t="s">
        <v>94</v>
      </c>
      <c r="I101" t="s">
        <v>99</v>
      </c>
      <c r="J101">
        <v>80</v>
      </c>
      <c r="K101" t="s">
        <v>106</v>
      </c>
      <c r="L101" t="s">
        <v>107</v>
      </c>
      <c r="N101" s="9">
        <v>12099</v>
      </c>
      <c r="O101" s="11">
        <v>45607</v>
      </c>
      <c r="P101" s="10">
        <v>45622</v>
      </c>
      <c r="Q101" s="10">
        <v>45623</v>
      </c>
      <c r="R101" s="13">
        <f t="shared" si="3"/>
        <v>16</v>
      </c>
      <c r="S101" s="13">
        <f>IF(OR(Table1_1[[#This Row],[تاريخ التسليم]]="فشل التسليم",Table1_1[[#This Row],[ميعاد التسليم]]="",Table1_1[[#This Row],[تاريخ التسليم]]=""),"",Table1_1[[#This Row],[تاريخ التسليم]]-Table1_1[[#This Row],[ميعاد التسليم]])</f>
        <v>1</v>
      </c>
      <c r="T101"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01" t="s">
        <v>126</v>
      </c>
      <c r="V101" t="s">
        <v>125</v>
      </c>
    </row>
    <row r="102" spans="1:22" hidden="1" x14ac:dyDescent="0.3">
      <c r="A102" s="16">
        <v>101</v>
      </c>
      <c r="B102" t="s">
        <v>33</v>
      </c>
      <c r="C102" t="s">
        <v>231</v>
      </c>
      <c r="D102" t="s">
        <v>145</v>
      </c>
      <c r="E102" t="s">
        <v>222</v>
      </c>
      <c r="F102" t="s">
        <v>33</v>
      </c>
      <c r="G102" s="9" t="s">
        <v>54</v>
      </c>
      <c r="H102" t="s">
        <v>103</v>
      </c>
      <c r="I102" t="s">
        <v>170</v>
      </c>
      <c r="K102" t="s">
        <v>132</v>
      </c>
      <c r="L102" t="s">
        <v>108</v>
      </c>
      <c r="M102" t="s">
        <v>171</v>
      </c>
      <c r="N102" s="9">
        <v>15872</v>
      </c>
      <c r="O102" s="11">
        <v>45604</v>
      </c>
      <c r="P102" s="10">
        <v>45629</v>
      </c>
      <c r="Q102" s="10">
        <v>45610</v>
      </c>
      <c r="R102" s="13">
        <f t="shared" si="3"/>
        <v>6</v>
      </c>
      <c r="S102" s="13">
        <f>IF(OR(Table1_1[[#This Row],[تاريخ التسليم]]="فشل التسليم",Table1_1[[#This Row],[ميعاد التسليم]]="",Table1_1[[#This Row],[تاريخ التسليم]]=""),"",Table1_1[[#This Row],[تاريخ التسليم]]-Table1_1[[#This Row],[ميعاد التسليم]])</f>
        <v>-19</v>
      </c>
      <c r="T102"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02" t="s">
        <v>126</v>
      </c>
      <c r="V102" t="s">
        <v>125</v>
      </c>
    </row>
    <row r="103" spans="1:22" hidden="1" x14ac:dyDescent="0.3">
      <c r="A103" s="16">
        <v>102</v>
      </c>
      <c r="B103" t="s">
        <v>173</v>
      </c>
      <c r="C103" t="s">
        <v>231</v>
      </c>
      <c r="D103" t="s">
        <v>22</v>
      </c>
      <c r="E103" t="s">
        <v>226</v>
      </c>
      <c r="F103" t="s">
        <v>157</v>
      </c>
      <c r="G103" s="9" t="s">
        <v>54</v>
      </c>
      <c r="H103" t="s">
        <v>94</v>
      </c>
      <c r="I103" t="s">
        <v>115</v>
      </c>
      <c r="J103">
        <v>120</v>
      </c>
      <c r="K103" t="s">
        <v>97</v>
      </c>
      <c r="L103" t="s">
        <v>107</v>
      </c>
      <c r="N103" s="9">
        <v>4520</v>
      </c>
      <c r="O103" s="11">
        <v>45606</v>
      </c>
      <c r="P103" s="10">
        <v>45618</v>
      </c>
      <c r="Q103" s="10">
        <v>45617</v>
      </c>
      <c r="R103" s="13">
        <f t="shared" si="3"/>
        <v>11</v>
      </c>
      <c r="S103" s="13">
        <f>IF(OR(Table1_1[[#This Row],[تاريخ التسليم]]="فشل التسليم",Table1_1[[#This Row],[ميعاد التسليم]]="",Table1_1[[#This Row],[تاريخ التسليم]]=""),"",Table1_1[[#This Row],[تاريخ التسليم]]-Table1_1[[#This Row],[ميعاد التسليم]])</f>
        <v>-1</v>
      </c>
      <c r="T103"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03" t="s">
        <v>126</v>
      </c>
      <c r="V103" t="s">
        <v>125</v>
      </c>
    </row>
    <row r="104" spans="1:22" hidden="1" x14ac:dyDescent="0.3">
      <c r="A104" s="16">
        <v>103</v>
      </c>
      <c r="B104" t="s">
        <v>52</v>
      </c>
      <c r="C104" t="s">
        <v>231</v>
      </c>
      <c r="D104" t="s">
        <v>127</v>
      </c>
      <c r="E104" t="s">
        <v>227</v>
      </c>
      <c r="F104" t="s">
        <v>36</v>
      </c>
      <c r="G104" s="9" t="s">
        <v>11</v>
      </c>
      <c r="H104" t="s">
        <v>94</v>
      </c>
      <c r="I104" t="s">
        <v>98</v>
      </c>
      <c r="J104">
        <v>90</v>
      </c>
      <c r="K104" t="s">
        <v>106</v>
      </c>
      <c r="L104" t="s">
        <v>108</v>
      </c>
      <c r="N104" s="9">
        <v>5766</v>
      </c>
      <c r="O104" s="11">
        <v>45608</v>
      </c>
      <c r="P104" s="10">
        <v>45622</v>
      </c>
      <c r="Q104" s="10">
        <v>45621</v>
      </c>
      <c r="R104" s="13">
        <f t="shared" si="3"/>
        <v>13</v>
      </c>
      <c r="S104" s="13">
        <f>IF(OR(Table1_1[[#This Row],[تاريخ التسليم]]="فشل التسليم",Table1_1[[#This Row],[ميعاد التسليم]]="",Table1_1[[#This Row],[تاريخ التسليم]]=""),"",Table1_1[[#This Row],[تاريخ التسليم]]-Table1_1[[#This Row],[ميعاد التسليم]])</f>
        <v>-1</v>
      </c>
      <c r="T104"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04" t="s">
        <v>126</v>
      </c>
      <c r="V104" t="s">
        <v>125</v>
      </c>
    </row>
    <row r="105" spans="1:22" hidden="1" x14ac:dyDescent="0.3">
      <c r="A105" s="16">
        <v>104</v>
      </c>
      <c r="B105" t="s">
        <v>175</v>
      </c>
      <c r="C105" t="s">
        <v>230</v>
      </c>
      <c r="D105" t="s">
        <v>66</v>
      </c>
      <c r="E105" t="s">
        <v>226</v>
      </c>
      <c r="F105" t="s">
        <v>5</v>
      </c>
      <c r="G105" s="9" t="s">
        <v>11</v>
      </c>
      <c r="H105" t="s">
        <v>94</v>
      </c>
      <c r="I105" t="s">
        <v>115</v>
      </c>
      <c r="J105">
        <v>160</v>
      </c>
      <c r="K105" t="s">
        <v>97</v>
      </c>
      <c r="L105" t="s">
        <v>113</v>
      </c>
      <c r="N105" s="9">
        <v>11395</v>
      </c>
      <c r="O105" s="11">
        <v>45608</v>
      </c>
      <c r="P105" s="10">
        <v>45620</v>
      </c>
      <c r="Q105" s="10">
        <v>45623</v>
      </c>
      <c r="R105" s="13">
        <f t="shared" si="3"/>
        <v>15</v>
      </c>
      <c r="S105" s="13">
        <f>IF(OR(Table1_1[[#This Row],[تاريخ التسليم]]="فشل التسليم",Table1_1[[#This Row],[ميعاد التسليم]]="",Table1_1[[#This Row],[تاريخ التسليم]]=""),"",Table1_1[[#This Row],[تاريخ التسليم]]-Table1_1[[#This Row],[ميعاد التسليم]])</f>
        <v>3</v>
      </c>
      <c r="T105"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05" t="s">
        <v>126</v>
      </c>
      <c r="V105" t="s">
        <v>125</v>
      </c>
    </row>
    <row r="106" spans="1:22" hidden="1" x14ac:dyDescent="0.3">
      <c r="A106" s="16">
        <v>105</v>
      </c>
      <c r="B106" t="s">
        <v>176</v>
      </c>
      <c r="C106" t="s">
        <v>230</v>
      </c>
      <c r="D106" t="s">
        <v>22</v>
      </c>
      <c r="E106" t="s">
        <v>226</v>
      </c>
      <c r="F106" t="s">
        <v>5</v>
      </c>
      <c r="G106" s="9" t="s">
        <v>54</v>
      </c>
      <c r="H106" t="s">
        <v>94</v>
      </c>
      <c r="I106" t="s">
        <v>177</v>
      </c>
      <c r="J106">
        <v>80</v>
      </c>
      <c r="K106" t="s">
        <v>106</v>
      </c>
      <c r="L106" t="s">
        <v>107</v>
      </c>
      <c r="N106" s="9">
        <v>12919</v>
      </c>
      <c r="O106" s="11">
        <v>45610</v>
      </c>
      <c r="P106" s="10">
        <v>45626</v>
      </c>
      <c r="Q106" s="10">
        <v>45623</v>
      </c>
      <c r="R106" s="13">
        <f t="shared" si="3"/>
        <v>13</v>
      </c>
      <c r="S106" s="13">
        <f>IF(OR(Table1_1[[#This Row],[تاريخ التسليم]]="فشل التسليم",Table1_1[[#This Row],[ميعاد التسليم]]="",Table1_1[[#This Row],[تاريخ التسليم]]=""),"",Table1_1[[#This Row],[تاريخ التسليم]]-Table1_1[[#This Row],[ميعاد التسليم]])</f>
        <v>-3</v>
      </c>
      <c r="T106"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06" t="s">
        <v>126</v>
      </c>
      <c r="V106" t="s">
        <v>125</v>
      </c>
    </row>
    <row r="107" spans="1:22" hidden="1" x14ac:dyDescent="0.3">
      <c r="A107" s="16">
        <v>106</v>
      </c>
      <c r="B107" t="s">
        <v>52</v>
      </c>
      <c r="C107" t="s">
        <v>231</v>
      </c>
      <c r="D107" t="s">
        <v>127</v>
      </c>
      <c r="E107" t="s">
        <v>227</v>
      </c>
      <c r="F107" t="s">
        <v>36</v>
      </c>
      <c r="G107" s="9" t="s">
        <v>54</v>
      </c>
      <c r="H107" t="s">
        <v>94</v>
      </c>
      <c r="I107" t="s">
        <v>96</v>
      </c>
      <c r="J107">
        <v>120</v>
      </c>
      <c r="K107" t="s">
        <v>106</v>
      </c>
      <c r="L107" t="s">
        <v>112</v>
      </c>
      <c r="N107" s="9">
        <v>6376</v>
      </c>
      <c r="O107" s="11">
        <v>45610</v>
      </c>
      <c r="P107" s="10">
        <v>45623</v>
      </c>
      <c r="Q107" s="10">
        <v>45621</v>
      </c>
      <c r="R107" s="13">
        <f t="shared" si="3"/>
        <v>11</v>
      </c>
      <c r="S107" s="13">
        <f>IF(OR(Table1_1[[#This Row],[تاريخ التسليم]]="فشل التسليم",Table1_1[[#This Row],[ميعاد التسليم]]="",Table1_1[[#This Row],[تاريخ التسليم]]=""),"",Table1_1[[#This Row],[تاريخ التسليم]]-Table1_1[[#This Row],[ميعاد التسليم]])</f>
        <v>-2</v>
      </c>
      <c r="T107"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07" t="s">
        <v>126</v>
      </c>
      <c r="V107" t="s">
        <v>125</v>
      </c>
    </row>
    <row r="108" spans="1:22" hidden="1" x14ac:dyDescent="0.3">
      <c r="A108" s="16">
        <v>107</v>
      </c>
      <c r="B108" t="s">
        <v>52</v>
      </c>
      <c r="C108" t="s">
        <v>231</v>
      </c>
      <c r="D108" t="s">
        <v>178</v>
      </c>
      <c r="E108" t="s">
        <v>229</v>
      </c>
      <c r="F108" t="s">
        <v>36</v>
      </c>
      <c r="G108" s="9" t="s">
        <v>11</v>
      </c>
      <c r="H108" t="s">
        <v>94</v>
      </c>
      <c r="I108" t="s">
        <v>96</v>
      </c>
      <c r="J108">
        <v>90</v>
      </c>
      <c r="K108" t="s">
        <v>179</v>
      </c>
      <c r="L108" t="s">
        <v>108</v>
      </c>
      <c r="N108" s="9">
        <v>5294</v>
      </c>
      <c r="O108" s="11">
        <v>45610</v>
      </c>
      <c r="P108" s="10">
        <v>45623</v>
      </c>
      <c r="Q108" s="10">
        <v>45621</v>
      </c>
      <c r="R108" s="13">
        <f t="shared" si="3"/>
        <v>11</v>
      </c>
      <c r="S108" s="13">
        <f>IF(OR(Table1_1[[#This Row],[تاريخ التسليم]]="فشل التسليم",Table1_1[[#This Row],[ميعاد التسليم]]="",Table1_1[[#This Row],[تاريخ التسليم]]=""),"",Table1_1[[#This Row],[تاريخ التسليم]]-Table1_1[[#This Row],[ميعاد التسليم]])</f>
        <v>-2</v>
      </c>
      <c r="T108"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08" t="s">
        <v>126</v>
      </c>
      <c r="V108" t="s">
        <v>125</v>
      </c>
    </row>
    <row r="109" spans="1:22" hidden="1" x14ac:dyDescent="0.3">
      <c r="A109" s="16">
        <v>108</v>
      </c>
      <c r="B109" t="s">
        <v>181</v>
      </c>
      <c r="C109" t="s">
        <v>230</v>
      </c>
      <c r="D109" t="s">
        <v>26</v>
      </c>
      <c r="E109" t="s">
        <v>222</v>
      </c>
      <c r="F109" t="s">
        <v>182</v>
      </c>
      <c r="G109" s="9" t="s">
        <v>241</v>
      </c>
      <c r="H109" t="s">
        <v>94</v>
      </c>
      <c r="I109" t="s">
        <v>183</v>
      </c>
      <c r="J109">
        <v>80</v>
      </c>
      <c r="K109" t="s">
        <v>179</v>
      </c>
      <c r="L109" t="s">
        <v>107</v>
      </c>
      <c r="N109" s="9">
        <v>7396</v>
      </c>
      <c r="O109" s="11">
        <v>45613</v>
      </c>
      <c r="P109" s="10">
        <v>45624</v>
      </c>
      <c r="Q109" s="10">
        <v>45622</v>
      </c>
      <c r="R109" s="13">
        <f t="shared" si="3"/>
        <v>9</v>
      </c>
      <c r="S109" s="13">
        <f>IF(OR(Table1_1[[#This Row],[تاريخ التسليم]]="فشل التسليم",Table1_1[[#This Row],[ميعاد التسليم]]="",Table1_1[[#This Row],[تاريخ التسليم]]=""),"",Table1_1[[#This Row],[تاريخ التسليم]]-Table1_1[[#This Row],[ميعاد التسليم]])</f>
        <v>-2</v>
      </c>
      <c r="T109"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09" t="s">
        <v>126</v>
      </c>
      <c r="V109" t="s">
        <v>125</v>
      </c>
    </row>
    <row r="110" spans="1:22" hidden="1" x14ac:dyDescent="0.3">
      <c r="A110" s="16">
        <v>109</v>
      </c>
      <c r="B110" t="s">
        <v>82</v>
      </c>
      <c r="C110" t="s">
        <v>230</v>
      </c>
      <c r="D110" t="s">
        <v>184</v>
      </c>
      <c r="E110" t="s">
        <v>222</v>
      </c>
      <c r="F110" t="s">
        <v>5</v>
      </c>
      <c r="G110" s="9" t="s">
        <v>54</v>
      </c>
      <c r="H110" t="s">
        <v>94</v>
      </c>
      <c r="I110" t="s">
        <v>98</v>
      </c>
      <c r="J110">
        <v>90</v>
      </c>
      <c r="K110" t="s">
        <v>106</v>
      </c>
      <c r="L110" t="s">
        <v>108</v>
      </c>
      <c r="N110" s="9">
        <v>13439</v>
      </c>
      <c r="O110" s="11">
        <v>45616</v>
      </c>
      <c r="P110" s="10">
        <v>45631</v>
      </c>
      <c r="Q110" s="10">
        <v>45622</v>
      </c>
      <c r="R110" s="13">
        <f t="shared" si="3"/>
        <v>6</v>
      </c>
      <c r="S110" s="13">
        <f>IF(OR(Table1_1[[#This Row],[تاريخ التسليم]]="فشل التسليم",Table1_1[[#This Row],[ميعاد التسليم]]="",Table1_1[[#This Row],[تاريخ التسليم]]=""),"",Table1_1[[#This Row],[تاريخ التسليم]]-Table1_1[[#This Row],[ميعاد التسليم]])</f>
        <v>-9</v>
      </c>
      <c r="T110"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10" t="s">
        <v>126</v>
      </c>
      <c r="V110" t="s">
        <v>125</v>
      </c>
    </row>
    <row r="111" spans="1:22" hidden="1" x14ac:dyDescent="0.3">
      <c r="A111" s="16">
        <v>110</v>
      </c>
      <c r="B111" t="s">
        <v>27</v>
      </c>
      <c r="C111" t="s">
        <v>231</v>
      </c>
      <c r="D111" t="s">
        <v>30</v>
      </c>
      <c r="E111" t="s">
        <v>226</v>
      </c>
      <c r="F111" t="s">
        <v>27</v>
      </c>
      <c r="G111" s="9" t="s">
        <v>241</v>
      </c>
      <c r="H111" t="s">
        <v>94</v>
      </c>
      <c r="I111" t="s">
        <v>186</v>
      </c>
      <c r="J111">
        <v>160</v>
      </c>
      <c r="K111" t="s">
        <v>185</v>
      </c>
      <c r="L111" t="s">
        <v>108</v>
      </c>
      <c r="N111" s="9">
        <v>5100</v>
      </c>
      <c r="O111" s="11">
        <v>45610</v>
      </c>
      <c r="P111" s="10">
        <v>45634</v>
      </c>
      <c r="Q111" s="10" t="s">
        <v>123</v>
      </c>
      <c r="R111" s="13" t="str">
        <f t="shared" si="3"/>
        <v/>
      </c>
      <c r="S111" s="13" t="str">
        <f>IF(OR(Table1_1[[#This Row],[تاريخ التسليم]]="فشل التسليم",Table1_1[[#This Row],[ميعاد التسليم]]="",Table1_1[[#This Row],[تاريخ التسليم]]=""),"",Table1_1[[#This Row],[تاريخ التسليم]]-Table1_1[[#This Row],[ميعاد التسليم]])</f>
        <v/>
      </c>
      <c r="T111"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111" t="s">
        <v>24</v>
      </c>
      <c r="V111" t="s">
        <v>180</v>
      </c>
    </row>
    <row r="112" spans="1:22" hidden="1" x14ac:dyDescent="0.3">
      <c r="A112" s="16">
        <v>111</v>
      </c>
      <c r="B112" t="s">
        <v>187</v>
      </c>
      <c r="C112" t="s">
        <v>230</v>
      </c>
      <c r="D112" t="s">
        <v>32</v>
      </c>
      <c r="E112" t="s">
        <v>226</v>
      </c>
      <c r="F112" t="s">
        <v>23</v>
      </c>
      <c r="G112" s="9" t="s">
        <v>241</v>
      </c>
      <c r="H112" t="s">
        <v>94</v>
      </c>
      <c r="I112" t="s">
        <v>188</v>
      </c>
      <c r="J112">
        <v>160</v>
      </c>
      <c r="K112" t="s">
        <v>97</v>
      </c>
      <c r="L112" t="s">
        <v>114</v>
      </c>
      <c r="M112" t="s">
        <v>107</v>
      </c>
      <c r="N112" s="9">
        <v>6000</v>
      </c>
      <c r="O112" s="11">
        <v>45618</v>
      </c>
      <c r="P112" s="10">
        <v>45628</v>
      </c>
      <c r="Q112" s="10">
        <v>45623</v>
      </c>
      <c r="R112" s="13">
        <f t="shared" si="3"/>
        <v>5</v>
      </c>
      <c r="S112" s="13">
        <f>IF(OR(Table1_1[[#This Row],[تاريخ التسليم]]="فشل التسليم",Table1_1[[#This Row],[ميعاد التسليم]]="",Table1_1[[#This Row],[تاريخ التسليم]]=""),"",Table1_1[[#This Row],[تاريخ التسليم]]-Table1_1[[#This Row],[ميعاد التسليم]])</f>
        <v>-5</v>
      </c>
      <c r="T112"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12" t="s">
        <v>126</v>
      </c>
      <c r="V112" t="s">
        <v>125</v>
      </c>
    </row>
    <row r="113" spans="1:22" hidden="1" x14ac:dyDescent="0.3">
      <c r="A113" s="16">
        <v>112</v>
      </c>
      <c r="B113" t="s">
        <v>189</v>
      </c>
      <c r="C113" t="s">
        <v>230</v>
      </c>
      <c r="D113" t="s">
        <v>190</v>
      </c>
      <c r="E113" t="s">
        <v>226</v>
      </c>
      <c r="F113" t="s">
        <v>5</v>
      </c>
      <c r="G113" s="9" t="s">
        <v>241</v>
      </c>
      <c r="H113" t="s">
        <v>94</v>
      </c>
      <c r="I113" t="s">
        <v>191</v>
      </c>
      <c r="J113">
        <v>120</v>
      </c>
      <c r="K113" t="s">
        <v>185</v>
      </c>
      <c r="L113" t="s">
        <v>112</v>
      </c>
      <c r="N113" s="9">
        <v>10885</v>
      </c>
      <c r="O113" s="11">
        <v>45620</v>
      </c>
      <c r="P113" s="10">
        <v>45631</v>
      </c>
      <c r="Q113" s="10">
        <v>45636</v>
      </c>
      <c r="R113" s="13">
        <f t="shared" si="3"/>
        <v>16</v>
      </c>
      <c r="S113" s="13">
        <f>IF(OR(Table1_1[[#This Row],[تاريخ التسليم]]="فشل التسليم",Table1_1[[#This Row],[ميعاد التسليم]]="",Table1_1[[#This Row],[تاريخ التسليم]]=""),"",Table1_1[[#This Row],[تاريخ التسليم]]-Table1_1[[#This Row],[ميعاد التسليم]])</f>
        <v>5</v>
      </c>
      <c r="T113"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13" t="s">
        <v>126</v>
      </c>
      <c r="V113" t="s">
        <v>125</v>
      </c>
    </row>
    <row r="114" spans="1:22" x14ac:dyDescent="0.3">
      <c r="A114" s="16">
        <v>113</v>
      </c>
      <c r="B114" t="s">
        <v>27</v>
      </c>
      <c r="C114" t="s">
        <v>231</v>
      </c>
      <c r="D114" t="s">
        <v>30</v>
      </c>
      <c r="E114" t="s">
        <v>226</v>
      </c>
      <c r="F114" t="s">
        <v>27</v>
      </c>
      <c r="G114" s="9" t="s">
        <v>11</v>
      </c>
      <c r="H114" t="s">
        <v>103</v>
      </c>
      <c r="I114" t="s">
        <v>192</v>
      </c>
      <c r="K114" t="s">
        <v>192</v>
      </c>
      <c r="N114" s="9">
        <v>6000</v>
      </c>
      <c r="O114" s="11">
        <v>45615</v>
      </c>
      <c r="P114" s="10">
        <v>45631</v>
      </c>
      <c r="Q114" s="10">
        <v>45616</v>
      </c>
      <c r="R114" s="13">
        <f t="shared" si="3"/>
        <v>1</v>
      </c>
      <c r="S114" s="13">
        <f>IF(OR(Table1_1[[#This Row],[تاريخ التسليم]]="فشل التسليم",Table1_1[[#This Row],[ميعاد التسليم]]="",Table1_1[[#This Row],[تاريخ التسليم]]=""),"",Table1_1[[#This Row],[تاريخ التسليم]]-Table1_1[[#This Row],[ميعاد التسليم]])</f>
        <v>-15</v>
      </c>
      <c r="T114"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14" t="s">
        <v>193</v>
      </c>
      <c r="V114" t="s">
        <v>125</v>
      </c>
    </row>
    <row r="115" spans="1:22" x14ac:dyDescent="0.3">
      <c r="A115" s="16">
        <v>114</v>
      </c>
      <c r="B115" t="s">
        <v>194</v>
      </c>
      <c r="C115" t="s">
        <v>230</v>
      </c>
      <c r="D115" t="s">
        <v>195</v>
      </c>
      <c r="E115" t="s">
        <v>223</v>
      </c>
      <c r="F115" t="s">
        <v>5</v>
      </c>
      <c r="G115" s="9" t="s">
        <v>241</v>
      </c>
      <c r="H115" s="5" t="s">
        <v>204</v>
      </c>
      <c r="I115" t="s">
        <v>196</v>
      </c>
      <c r="N115" s="9">
        <v>8449</v>
      </c>
      <c r="O115" s="11">
        <v>45623</v>
      </c>
      <c r="P115" s="10">
        <v>45636</v>
      </c>
      <c r="Q115" s="10">
        <v>45649</v>
      </c>
      <c r="R115" s="13">
        <f t="shared" si="3"/>
        <v>26</v>
      </c>
      <c r="S115" s="13">
        <f>IF(OR(Table1_1[[#This Row],[تاريخ التسليم]]="فشل التسليم",Table1_1[[#This Row],[ميعاد التسليم]]="",Table1_1[[#This Row],[تاريخ التسليم]]=""),"",Table1_1[[#This Row],[تاريخ التسليم]]-Table1_1[[#This Row],[ميعاد التسليم]])</f>
        <v>13</v>
      </c>
      <c r="T115"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15" t="s">
        <v>18</v>
      </c>
      <c r="V115" t="s">
        <v>125</v>
      </c>
    </row>
    <row r="116" spans="1:22" hidden="1" x14ac:dyDescent="0.3">
      <c r="A116" s="16">
        <v>115</v>
      </c>
      <c r="B116" t="s">
        <v>197</v>
      </c>
      <c r="C116" t="s">
        <v>230</v>
      </c>
      <c r="D116" t="s">
        <v>38</v>
      </c>
      <c r="E116" t="s">
        <v>226</v>
      </c>
      <c r="F116" t="s">
        <v>5</v>
      </c>
      <c r="G116" s="9" t="s">
        <v>11</v>
      </c>
      <c r="H116" s="5" t="s">
        <v>204</v>
      </c>
      <c r="I116" t="s">
        <v>199</v>
      </c>
      <c r="K116" t="s">
        <v>198</v>
      </c>
      <c r="L116" t="s">
        <v>107</v>
      </c>
      <c r="M116" t="s">
        <v>200</v>
      </c>
      <c r="N116" s="9">
        <v>10249</v>
      </c>
      <c r="O116" s="11">
        <v>45623</v>
      </c>
      <c r="P116" s="10">
        <v>45636</v>
      </c>
      <c r="Q116" s="10">
        <v>45645</v>
      </c>
      <c r="R116" s="13">
        <f t="shared" si="3"/>
        <v>22</v>
      </c>
      <c r="S116" s="13">
        <f>IF(OR(Table1_1[[#This Row],[تاريخ التسليم]]="فشل التسليم",Table1_1[[#This Row],[ميعاد التسليم]]="",Table1_1[[#This Row],[تاريخ التسليم]]=""),"",Table1_1[[#This Row],[تاريخ التسليم]]-Table1_1[[#This Row],[ميعاد التسليم]])</f>
        <v>9</v>
      </c>
      <c r="T116"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16" t="s">
        <v>126</v>
      </c>
      <c r="V116" t="s">
        <v>125</v>
      </c>
    </row>
    <row r="117" spans="1:22" hidden="1" x14ac:dyDescent="0.3">
      <c r="A117" s="16">
        <v>116</v>
      </c>
      <c r="B117" t="s">
        <v>201</v>
      </c>
      <c r="C117" t="s">
        <v>230</v>
      </c>
      <c r="D117" t="s">
        <v>202</v>
      </c>
      <c r="E117" t="s">
        <v>223</v>
      </c>
      <c r="F117" t="s">
        <v>5</v>
      </c>
      <c r="G117" s="9" t="s">
        <v>11</v>
      </c>
      <c r="H117" t="s">
        <v>94</v>
      </c>
      <c r="I117" t="s">
        <v>99</v>
      </c>
      <c r="J117">
        <v>100</v>
      </c>
      <c r="K117" t="s">
        <v>106</v>
      </c>
      <c r="L117" t="s">
        <v>108</v>
      </c>
      <c r="N117" s="9">
        <v>14905</v>
      </c>
      <c r="O117" s="11">
        <v>45625</v>
      </c>
      <c r="P117" s="10">
        <v>45641</v>
      </c>
      <c r="Q117" s="10" t="s">
        <v>123</v>
      </c>
      <c r="R117" s="13" t="str">
        <f t="shared" si="3"/>
        <v/>
      </c>
      <c r="S117" s="13" t="str">
        <f>IF(OR(Table1_1[[#This Row],[تاريخ التسليم]]="فشل التسليم",Table1_1[[#This Row],[ميعاد التسليم]]="",Table1_1[[#This Row],[تاريخ التسليم]]=""),"",Table1_1[[#This Row],[تاريخ التسليم]]-Table1_1[[#This Row],[ميعاد التسليم]])</f>
        <v/>
      </c>
      <c r="T117"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117" t="s">
        <v>24</v>
      </c>
      <c r="V117" t="s">
        <v>180</v>
      </c>
    </row>
    <row r="118" spans="1:22" hidden="1" x14ac:dyDescent="0.3">
      <c r="A118" s="16">
        <v>117</v>
      </c>
      <c r="B118" t="s">
        <v>203</v>
      </c>
      <c r="C118" t="s">
        <v>230</v>
      </c>
      <c r="D118" t="s">
        <v>42</v>
      </c>
      <c r="E118" t="s">
        <v>226</v>
      </c>
      <c r="F118" t="s">
        <v>5</v>
      </c>
      <c r="G118" s="9" t="s">
        <v>11</v>
      </c>
      <c r="H118" s="5" t="s">
        <v>204</v>
      </c>
      <c r="I118" t="s">
        <v>199</v>
      </c>
      <c r="K118" t="s">
        <v>198</v>
      </c>
      <c r="L118" t="s">
        <v>108</v>
      </c>
      <c r="M118" t="s">
        <v>205</v>
      </c>
      <c r="N118" s="9">
        <v>10249</v>
      </c>
      <c r="O118" s="11">
        <v>45626</v>
      </c>
      <c r="P118" s="10">
        <v>45638</v>
      </c>
      <c r="Q118" s="10" t="s">
        <v>123</v>
      </c>
      <c r="R118" s="13" t="str">
        <f t="shared" si="3"/>
        <v/>
      </c>
      <c r="S118" s="13" t="str">
        <f>IF(OR(Table1_1[[#This Row],[تاريخ التسليم]]="فشل التسليم",Table1_1[[#This Row],[ميعاد التسليم]]="",Table1_1[[#This Row],[تاريخ التسليم]]=""),"",Table1_1[[#This Row],[تاريخ التسليم]]-Table1_1[[#This Row],[ميعاد التسليم]])</f>
        <v/>
      </c>
      <c r="T118"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118" t="s">
        <v>24</v>
      </c>
      <c r="V118" t="s">
        <v>180</v>
      </c>
    </row>
    <row r="119" spans="1:22" hidden="1" x14ac:dyDescent="0.3">
      <c r="A119" s="16">
        <v>118</v>
      </c>
      <c r="B119" t="s">
        <v>206</v>
      </c>
      <c r="C119" t="s">
        <v>230</v>
      </c>
      <c r="D119" t="s">
        <v>42</v>
      </c>
      <c r="E119" t="s">
        <v>226</v>
      </c>
      <c r="F119" t="s">
        <v>5</v>
      </c>
      <c r="G119" s="9" t="s">
        <v>11</v>
      </c>
      <c r="H119" s="5" t="s">
        <v>204</v>
      </c>
      <c r="K119" s="5" t="s">
        <v>121</v>
      </c>
      <c r="L119" t="s">
        <v>108</v>
      </c>
      <c r="M119" t="s">
        <v>207</v>
      </c>
      <c r="N119" s="9">
        <v>9029</v>
      </c>
      <c r="O119" s="11">
        <v>45626</v>
      </c>
      <c r="P119" s="10">
        <v>45638</v>
      </c>
      <c r="Q119" s="10" t="s">
        <v>123</v>
      </c>
      <c r="R119" s="13" t="str">
        <f t="shared" si="3"/>
        <v/>
      </c>
      <c r="S119" s="13" t="str">
        <f>IF(OR(Table1_1[[#This Row],[تاريخ التسليم]]="فشل التسليم",Table1_1[[#This Row],[ميعاد التسليم]]="",Table1_1[[#This Row],[تاريخ التسليم]]=""),"",Table1_1[[#This Row],[تاريخ التسليم]]-Table1_1[[#This Row],[ميعاد التسليم]])</f>
        <v/>
      </c>
      <c r="T119"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119" t="s">
        <v>24</v>
      </c>
      <c r="V119" t="s">
        <v>180</v>
      </c>
    </row>
    <row r="120" spans="1:22" hidden="1" x14ac:dyDescent="0.3">
      <c r="A120" s="16">
        <v>119</v>
      </c>
      <c r="B120" t="s">
        <v>208</v>
      </c>
      <c r="C120" t="s">
        <v>230</v>
      </c>
      <c r="D120" t="s">
        <v>91</v>
      </c>
      <c r="E120" t="s">
        <v>135</v>
      </c>
      <c r="F120" t="s">
        <v>5</v>
      </c>
      <c r="G120" s="9" t="s">
        <v>11</v>
      </c>
      <c r="H120" s="5" t="s">
        <v>204</v>
      </c>
      <c r="K120" t="s">
        <v>209</v>
      </c>
      <c r="L120" t="s">
        <v>108</v>
      </c>
      <c r="M120" t="s">
        <v>210</v>
      </c>
      <c r="N120" s="9">
        <v>9029</v>
      </c>
      <c r="O120" s="11">
        <v>45626</v>
      </c>
      <c r="P120" s="10">
        <v>45638</v>
      </c>
      <c r="Q120" s="10" t="s">
        <v>123</v>
      </c>
      <c r="R120" s="13" t="str">
        <f t="shared" si="3"/>
        <v/>
      </c>
      <c r="S120" s="13" t="str">
        <f>IF(OR(Table1_1[[#This Row],[تاريخ التسليم]]="فشل التسليم",Table1_1[[#This Row],[ميعاد التسليم]]="",Table1_1[[#This Row],[تاريخ التسليم]]=""),"",Table1_1[[#This Row],[تاريخ التسليم]]-Table1_1[[#This Row],[ميعاد التسليم]])</f>
        <v/>
      </c>
      <c r="T120"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120" t="s">
        <v>24</v>
      </c>
      <c r="V120" t="s">
        <v>180</v>
      </c>
    </row>
    <row r="121" spans="1:22" hidden="1" x14ac:dyDescent="0.3">
      <c r="A121" s="16">
        <v>120</v>
      </c>
      <c r="B121" t="s">
        <v>211</v>
      </c>
      <c r="C121" t="s">
        <v>230</v>
      </c>
      <c r="D121" t="s">
        <v>212</v>
      </c>
      <c r="E121" t="s">
        <v>226</v>
      </c>
      <c r="F121" t="s">
        <v>5</v>
      </c>
      <c r="G121" s="9" t="s">
        <v>54</v>
      </c>
      <c r="H121" t="s">
        <v>94</v>
      </c>
      <c r="I121" t="s">
        <v>96</v>
      </c>
      <c r="J121">
        <v>80</v>
      </c>
      <c r="K121" t="s">
        <v>179</v>
      </c>
      <c r="L121" t="s">
        <v>107</v>
      </c>
      <c r="N121" s="9">
        <v>12099</v>
      </c>
      <c r="O121" s="11">
        <v>45628</v>
      </c>
      <c r="P121" s="10">
        <v>45643</v>
      </c>
      <c r="Q121" s="10" t="s">
        <v>123</v>
      </c>
      <c r="R121" s="13" t="str">
        <f t="shared" si="3"/>
        <v/>
      </c>
      <c r="S121" s="13" t="str">
        <f>IF(OR(Table1_1[[#This Row],[تاريخ التسليم]]="فشل التسليم",Table1_1[[#This Row],[ميعاد التسليم]]="",Table1_1[[#This Row],[تاريخ التسليم]]=""),"",Table1_1[[#This Row],[تاريخ التسليم]]-Table1_1[[#This Row],[ميعاد التسليم]])</f>
        <v/>
      </c>
      <c r="T121" s="13" t="str">
        <f>IF(Table1_1[[#This Row],[تاريخ التسليم]]="فشل التسليم","Failed",IF(Table1_1[[#This Row],[تاريخ التسليم]]&lt;Table1_1[[#This Row],[ميعاد التسليم]],"Early",IF(Table1_1[[#This Row],[تاريخ التسليم]]=Table1_1[[#This Row],[ميعاد التسليم]],"On Time","Late")))</f>
        <v>Failed</v>
      </c>
      <c r="U121" t="s">
        <v>24</v>
      </c>
      <c r="V121" t="s">
        <v>180</v>
      </c>
    </row>
    <row r="122" spans="1:22" hidden="1" x14ac:dyDescent="0.3">
      <c r="A122" s="16">
        <v>121</v>
      </c>
      <c r="B122" t="s">
        <v>52</v>
      </c>
      <c r="C122" t="s">
        <v>231</v>
      </c>
      <c r="D122" t="s">
        <v>127</v>
      </c>
      <c r="E122" t="s">
        <v>227</v>
      </c>
      <c r="F122" t="s">
        <v>36</v>
      </c>
      <c r="G122" s="9" t="s">
        <v>241</v>
      </c>
      <c r="H122" t="s">
        <v>94</v>
      </c>
      <c r="I122" t="s">
        <v>183</v>
      </c>
      <c r="J122">
        <v>90</v>
      </c>
      <c r="K122" t="s">
        <v>179</v>
      </c>
      <c r="L122" t="s">
        <v>110</v>
      </c>
      <c r="N122" s="9">
        <v>5217</v>
      </c>
      <c r="O122" s="11">
        <v>45627</v>
      </c>
      <c r="P122" s="10">
        <v>45640</v>
      </c>
      <c r="Q122" s="10">
        <v>45636</v>
      </c>
      <c r="R122" s="13">
        <f t="shared" si="3"/>
        <v>9</v>
      </c>
      <c r="S122" s="13">
        <f>IF(OR(Table1_1[[#This Row],[تاريخ التسليم]]="فشل التسليم",Table1_1[[#This Row],[ميعاد التسليم]]="",Table1_1[[#This Row],[تاريخ التسليم]]=""),"",Table1_1[[#This Row],[تاريخ التسليم]]-Table1_1[[#This Row],[ميعاد التسليم]])</f>
        <v>-4</v>
      </c>
      <c r="T122"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22" t="s">
        <v>126</v>
      </c>
      <c r="V122" t="s">
        <v>125</v>
      </c>
    </row>
    <row r="123" spans="1:22" hidden="1" x14ac:dyDescent="0.3">
      <c r="A123" s="16">
        <v>122</v>
      </c>
      <c r="B123" t="s">
        <v>213</v>
      </c>
      <c r="C123" t="s">
        <v>230</v>
      </c>
      <c r="D123" t="s">
        <v>85</v>
      </c>
      <c r="E123" t="s">
        <v>227</v>
      </c>
      <c r="F123" t="s">
        <v>5</v>
      </c>
      <c r="G123" s="9" t="s">
        <v>241</v>
      </c>
      <c r="H123" t="s">
        <v>94</v>
      </c>
      <c r="K123" t="s">
        <v>95</v>
      </c>
      <c r="L123" t="s">
        <v>108</v>
      </c>
      <c r="M123" t="s">
        <v>108</v>
      </c>
      <c r="N123" s="9">
        <v>10249</v>
      </c>
      <c r="O123" s="11">
        <v>45630</v>
      </c>
      <c r="P123" s="10">
        <v>45640</v>
      </c>
      <c r="Q123" s="10">
        <v>45645</v>
      </c>
      <c r="R123" s="13">
        <f t="shared" si="3"/>
        <v>15</v>
      </c>
      <c r="S123" s="13">
        <f>IF(OR(Table1_1[[#This Row],[تاريخ التسليم]]="فشل التسليم",Table1_1[[#This Row],[ميعاد التسليم]]="",Table1_1[[#This Row],[تاريخ التسليم]]=""),"",Table1_1[[#This Row],[تاريخ التسليم]]-Table1_1[[#This Row],[ميعاد التسليم]])</f>
        <v>5</v>
      </c>
      <c r="T123"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23" t="s">
        <v>126</v>
      </c>
      <c r="V123" t="s">
        <v>125</v>
      </c>
    </row>
    <row r="124" spans="1:22" hidden="1" x14ac:dyDescent="0.3">
      <c r="A124" s="16">
        <v>123</v>
      </c>
      <c r="B124" t="s">
        <v>214</v>
      </c>
      <c r="C124" t="s">
        <v>230</v>
      </c>
      <c r="D124" t="s">
        <v>215</v>
      </c>
      <c r="E124" t="s">
        <v>226</v>
      </c>
      <c r="F124" t="s">
        <v>33</v>
      </c>
      <c r="G124" s="9" t="s">
        <v>241</v>
      </c>
      <c r="H124" t="s">
        <v>94</v>
      </c>
      <c r="I124" t="s">
        <v>98</v>
      </c>
      <c r="K124" t="s">
        <v>106</v>
      </c>
      <c r="L124" t="s">
        <v>108</v>
      </c>
      <c r="N124" s="9">
        <v>10445</v>
      </c>
      <c r="O124" s="11">
        <v>45635</v>
      </c>
      <c r="P124" s="10">
        <v>45657</v>
      </c>
      <c r="Q124" s="10">
        <v>45638</v>
      </c>
      <c r="R124" s="13">
        <f t="shared" si="3"/>
        <v>3</v>
      </c>
      <c r="S124" s="13">
        <f>IF(OR(Table1_1[[#This Row],[تاريخ التسليم]]="فشل التسليم",Table1_1[[#This Row],[ميعاد التسليم]]="",Table1_1[[#This Row],[تاريخ التسليم]]=""),"",Table1_1[[#This Row],[تاريخ التسليم]]-Table1_1[[#This Row],[ميعاد التسليم]])</f>
        <v>-19</v>
      </c>
      <c r="T124"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24" t="s">
        <v>126</v>
      </c>
      <c r="V124" t="s">
        <v>125</v>
      </c>
    </row>
    <row r="125" spans="1:22" hidden="1" x14ac:dyDescent="0.3">
      <c r="A125" s="16">
        <v>124</v>
      </c>
      <c r="B125" t="s">
        <v>216</v>
      </c>
      <c r="C125" t="s">
        <v>230</v>
      </c>
      <c r="D125" t="s">
        <v>42</v>
      </c>
      <c r="E125" t="s">
        <v>226</v>
      </c>
      <c r="F125" t="s">
        <v>5</v>
      </c>
      <c r="G125" s="9" t="s">
        <v>241</v>
      </c>
      <c r="H125" s="5" t="s">
        <v>204</v>
      </c>
      <c r="I125" t="s">
        <v>199</v>
      </c>
      <c r="K125" t="s">
        <v>217</v>
      </c>
      <c r="L125" t="s">
        <v>108</v>
      </c>
      <c r="M125" t="s">
        <v>205</v>
      </c>
      <c r="N125" s="9">
        <v>11199</v>
      </c>
      <c r="O125" s="11">
        <v>45638</v>
      </c>
      <c r="P125" s="10">
        <v>45650</v>
      </c>
      <c r="Q125" s="10">
        <v>45645</v>
      </c>
      <c r="R125" s="13">
        <f t="shared" si="3"/>
        <v>7</v>
      </c>
      <c r="S125" s="13">
        <f>IF(OR(Table1_1[[#This Row],[تاريخ التسليم]]="فشل التسليم",Table1_1[[#This Row],[ميعاد التسليم]]="",Table1_1[[#This Row],[تاريخ التسليم]]=""),"",Table1_1[[#This Row],[تاريخ التسليم]]-Table1_1[[#This Row],[ميعاد التسليم]])</f>
        <v>-5</v>
      </c>
      <c r="T125"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25" t="s">
        <v>126</v>
      </c>
      <c r="V125" t="s">
        <v>125</v>
      </c>
    </row>
    <row r="126" spans="1:22" hidden="1" x14ac:dyDescent="0.3">
      <c r="A126" s="16">
        <v>125</v>
      </c>
      <c r="B126" t="s">
        <v>218</v>
      </c>
      <c r="C126" t="s">
        <v>230</v>
      </c>
      <c r="D126" t="s">
        <v>184</v>
      </c>
      <c r="E126" t="s">
        <v>222</v>
      </c>
      <c r="F126" t="s">
        <v>5</v>
      </c>
      <c r="G126" s="9" t="s">
        <v>241</v>
      </c>
      <c r="H126" t="s">
        <v>94</v>
      </c>
      <c r="I126" t="s">
        <v>96</v>
      </c>
      <c r="J126">
        <v>80</v>
      </c>
      <c r="K126" t="s">
        <v>106</v>
      </c>
      <c r="L126" t="s">
        <v>108</v>
      </c>
      <c r="N126" s="9">
        <v>13099</v>
      </c>
      <c r="O126" s="11">
        <v>45638</v>
      </c>
      <c r="P126" s="10">
        <v>45654</v>
      </c>
      <c r="Q126" s="10">
        <v>45655</v>
      </c>
      <c r="R126" s="13">
        <f t="shared" si="3"/>
        <v>17</v>
      </c>
      <c r="S126" s="13">
        <f>IF(OR(Table1_1[[#This Row],[تاريخ التسليم]]="فشل التسليم",Table1_1[[#This Row],[ميعاد التسليم]]="",Table1_1[[#This Row],[تاريخ التسليم]]=""),"",Table1_1[[#This Row],[تاريخ التسليم]]-Table1_1[[#This Row],[ميعاد التسليم]])</f>
        <v>1</v>
      </c>
      <c r="T126" s="13" t="str">
        <f>IF(Table1_1[[#This Row],[تاريخ التسليم]]="فشل التسليم","Failed",IF(Table1_1[[#This Row],[تاريخ التسليم]]&lt;Table1_1[[#This Row],[ميعاد التسليم]],"Early",IF(Table1_1[[#This Row],[تاريخ التسليم]]=Table1_1[[#This Row],[ميعاد التسليم]],"On Time","Late")))</f>
        <v>Late</v>
      </c>
      <c r="U126" t="s">
        <v>126</v>
      </c>
      <c r="V126" t="s">
        <v>125</v>
      </c>
    </row>
    <row r="127" spans="1:22" hidden="1" x14ac:dyDescent="0.3">
      <c r="A127" s="16">
        <v>126</v>
      </c>
      <c r="B127" t="s">
        <v>33</v>
      </c>
      <c r="C127" t="s">
        <v>231</v>
      </c>
      <c r="D127" t="s">
        <v>145</v>
      </c>
      <c r="E127" t="s">
        <v>222</v>
      </c>
      <c r="F127" t="s">
        <v>33</v>
      </c>
      <c r="G127" s="9" t="s">
        <v>54</v>
      </c>
      <c r="H127" t="s">
        <v>103</v>
      </c>
      <c r="I127" t="s">
        <v>170</v>
      </c>
      <c r="K127" t="s">
        <v>132</v>
      </c>
      <c r="L127" t="s">
        <v>108</v>
      </c>
      <c r="M127" t="s">
        <v>219</v>
      </c>
      <c r="N127" s="9">
        <v>8700</v>
      </c>
      <c r="O127" s="11">
        <v>45640</v>
      </c>
      <c r="P127" s="10">
        <v>45662</v>
      </c>
      <c r="Q127" s="10">
        <v>45655</v>
      </c>
      <c r="R127" s="13">
        <f t="shared" si="3"/>
        <v>15</v>
      </c>
      <c r="S127" s="13">
        <f>IF(OR(Table1_1[[#This Row],[تاريخ التسليم]]="فشل التسليم",Table1_1[[#This Row],[ميعاد التسليم]]="",Table1_1[[#This Row],[تاريخ التسليم]]=""),"",Table1_1[[#This Row],[تاريخ التسليم]]-Table1_1[[#This Row],[ميعاد التسليم]])</f>
        <v>-7</v>
      </c>
      <c r="T127" s="13" t="str">
        <f>IF(Table1_1[[#This Row],[تاريخ التسليم]]="فشل التسليم","Failed",IF(Table1_1[[#This Row],[تاريخ التسليم]]&lt;Table1_1[[#This Row],[ميعاد التسليم]],"Early",IF(Table1_1[[#This Row],[تاريخ التسليم]]=Table1_1[[#This Row],[ميعاد التسليم]],"On Time","Late")))</f>
        <v>Early</v>
      </c>
      <c r="U127" t="s">
        <v>126</v>
      </c>
      <c r="V127" t="s">
        <v>125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B9F12-1076-4B11-9A62-31AB8AAD2BCE}">
  <dimension ref="A1:AH17"/>
  <sheetViews>
    <sheetView zoomScaleNormal="100" workbookViewId="0">
      <selection activeCell="G1" sqref="G1:I1048576"/>
    </sheetView>
  </sheetViews>
  <sheetFormatPr defaultRowHeight="14.4" x14ac:dyDescent="0.3"/>
  <cols>
    <col min="1" max="1" width="10.5546875" style="20" bestFit="1" customWidth="1"/>
    <col min="2" max="2" width="8.88671875" style="17"/>
    <col min="3" max="3" width="12.5546875" style="20" bestFit="1" customWidth="1"/>
    <col min="4" max="4" width="12.6640625" style="20" bestFit="1" customWidth="1"/>
    <col min="5" max="5" width="8.88671875" style="17"/>
    <col min="6" max="6" width="18.77734375" style="20" bestFit="1" customWidth="1"/>
    <col min="7" max="7" width="8.88671875" style="17"/>
    <col min="8" max="8" width="19.88671875" style="17" bestFit="1" customWidth="1"/>
    <col min="9" max="9" width="8.88671875" style="17"/>
    <col min="10" max="10" width="14.5546875" style="20" bestFit="1" customWidth="1"/>
    <col min="11" max="11" width="16.77734375" style="17" bestFit="1" customWidth="1"/>
    <col min="12" max="12" width="17.77734375" style="20" bestFit="1" customWidth="1"/>
    <col min="13" max="13" width="8.88671875" style="17"/>
    <col min="14" max="14" width="12.5546875" style="20" bestFit="1" customWidth="1"/>
    <col min="15" max="15" width="12.88671875" style="20" bestFit="1" customWidth="1"/>
    <col min="16" max="16" width="8.88671875" style="17"/>
    <col min="17" max="17" width="12.5546875" bestFit="1" customWidth="1"/>
    <col min="18" max="18" width="12.88671875" bestFit="1" customWidth="1"/>
    <col min="19" max="19" width="8.88671875" style="17"/>
    <col min="20" max="20" width="12.5546875" style="20" bestFit="1" customWidth="1"/>
    <col min="21" max="21" width="15.5546875" style="20" bestFit="1" customWidth="1"/>
    <col min="22" max="22" width="8.88671875" style="17"/>
    <col min="23" max="23" width="12.5546875" style="20" bestFit="1" customWidth="1"/>
    <col min="24" max="24" width="16.77734375" style="20" bestFit="1" customWidth="1"/>
    <col min="25" max="25" width="8.88671875" style="17"/>
    <col min="26" max="26" width="10.5546875" style="20" customWidth="1"/>
    <col min="27" max="27" width="12.6640625" style="20" bestFit="1" customWidth="1"/>
    <col min="28" max="28" width="8.88671875" style="17"/>
    <col min="29" max="29" width="8.88671875" style="20" customWidth="1"/>
    <col min="30" max="30" width="12.88671875" style="20" bestFit="1" customWidth="1"/>
    <col min="31" max="31" width="8.88671875" style="17"/>
    <col min="32" max="32" width="11.33203125" style="20" customWidth="1"/>
    <col min="33" max="33" width="15.6640625" style="20" customWidth="1"/>
    <col min="34" max="34" width="8.88671875" style="20"/>
    <col min="35" max="35" width="18.77734375" bestFit="1" customWidth="1"/>
  </cols>
  <sheetData>
    <row r="1" spans="1:33" ht="28.2" customHeight="1" x14ac:dyDescent="0.3">
      <c r="A1" s="20" t="s">
        <v>253</v>
      </c>
      <c r="C1" s="20" t="s">
        <v>254</v>
      </c>
      <c r="F1" s="20" t="s">
        <v>262</v>
      </c>
      <c r="J1" s="20" t="s">
        <v>266</v>
      </c>
      <c r="L1" s="20" t="s">
        <v>268</v>
      </c>
      <c r="N1" s="20" t="s">
        <v>270</v>
      </c>
      <c r="Q1" t="s">
        <v>272</v>
      </c>
      <c r="T1" s="20" t="s">
        <v>273</v>
      </c>
      <c r="W1" s="30" t="s">
        <v>274</v>
      </c>
      <c r="Z1" s="31" t="s">
        <v>278</v>
      </c>
      <c r="AC1" s="32" t="s">
        <v>275</v>
      </c>
      <c r="AF1" s="33" t="s">
        <v>277</v>
      </c>
    </row>
    <row r="3" spans="1:33" x14ac:dyDescent="0.3">
      <c r="A3" s="20" t="s">
        <v>279</v>
      </c>
      <c r="C3" s="20" t="s">
        <v>260</v>
      </c>
      <c r="D3" s="20" t="s">
        <v>255</v>
      </c>
      <c r="F3" s="20" t="s">
        <v>263</v>
      </c>
      <c r="J3" s="20" t="s">
        <v>265</v>
      </c>
      <c r="L3" s="20" t="s">
        <v>267</v>
      </c>
      <c r="N3" s="20" t="s">
        <v>260</v>
      </c>
      <c r="O3" s="20" t="s">
        <v>269</v>
      </c>
      <c r="Q3" s="18" t="s">
        <v>260</v>
      </c>
      <c r="R3" t="s">
        <v>269</v>
      </c>
      <c r="T3" s="20" t="s">
        <v>260</v>
      </c>
      <c r="U3" s="20" t="s">
        <v>271</v>
      </c>
      <c r="W3" s="20" t="s">
        <v>260</v>
      </c>
      <c r="X3" s="20" t="s">
        <v>264</v>
      </c>
      <c r="Z3" s="20" t="s">
        <v>260</v>
      </c>
      <c r="AA3" s="20" t="s">
        <v>255</v>
      </c>
      <c r="AC3" s="20" t="s">
        <v>260</v>
      </c>
      <c r="AD3" s="20" t="s">
        <v>269</v>
      </c>
      <c r="AF3" s="20" t="s">
        <v>260</v>
      </c>
      <c r="AG3" s="20" t="s">
        <v>276</v>
      </c>
    </row>
    <row r="4" spans="1:33" x14ac:dyDescent="0.3">
      <c r="A4" s="21">
        <v>126</v>
      </c>
      <c r="C4" s="22" t="s">
        <v>125</v>
      </c>
      <c r="D4" s="20">
        <v>102</v>
      </c>
      <c r="F4" s="23">
        <v>19.04854368932039</v>
      </c>
      <c r="J4" s="24">
        <v>1282885.81544</v>
      </c>
      <c r="L4" s="24">
        <v>10263.08652352</v>
      </c>
      <c r="N4" s="22" t="s">
        <v>5</v>
      </c>
      <c r="O4" s="20">
        <v>76</v>
      </c>
      <c r="Q4" s="16" t="s">
        <v>141</v>
      </c>
      <c r="R4" s="16">
        <v>1</v>
      </c>
      <c r="T4" s="22" t="s">
        <v>108</v>
      </c>
      <c r="U4" s="20">
        <v>46</v>
      </c>
      <c r="W4" s="22" t="s">
        <v>258</v>
      </c>
      <c r="X4" s="27">
        <v>0.31746031746031744</v>
      </c>
      <c r="Z4" s="22" t="s">
        <v>125</v>
      </c>
      <c r="AA4" s="27">
        <v>0.80952380952380953</v>
      </c>
      <c r="AC4" s="22" t="s">
        <v>226</v>
      </c>
      <c r="AD4" s="20">
        <v>64</v>
      </c>
      <c r="AF4" s="22" t="s">
        <v>230</v>
      </c>
      <c r="AG4" s="20">
        <v>88</v>
      </c>
    </row>
    <row r="5" spans="1:33" x14ac:dyDescent="0.3">
      <c r="C5" s="22" t="s">
        <v>180</v>
      </c>
      <c r="D5" s="20">
        <v>24</v>
      </c>
      <c r="N5" s="22" t="s">
        <v>33</v>
      </c>
      <c r="O5" s="20">
        <v>16</v>
      </c>
      <c r="Q5" s="16" t="s">
        <v>239</v>
      </c>
      <c r="R5" s="16">
        <v>1</v>
      </c>
      <c r="T5" s="22" t="s">
        <v>107</v>
      </c>
      <c r="U5" s="20">
        <v>36</v>
      </c>
      <c r="W5" s="22" t="s">
        <v>257</v>
      </c>
      <c r="X5" s="27">
        <v>0.18253968253968253</v>
      </c>
      <c r="Z5" s="22" t="s">
        <v>180</v>
      </c>
      <c r="AA5" s="27">
        <v>0.19047619047619047</v>
      </c>
      <c r="AC5" s="22" t="s">
        <v>222</v>
      </c>
      <c r="AD5" s="20">
        <v>31</v>
      </c>
      <c r="AF5" s="22" t="s">
        <v>231</v>
      </c>
      <c r="AG5" s="20">
        <v>38</v>
      </c>
    </row>
    <row r="6" spans="1:33" x14ac:dyDescent="0.3">
      <c r="A6" s="20">
        <f>GETPIVOTDATA("ID",$A$3)</f>
        <v>126</v>
      </c>
      <c r="C6" s="22" t="s">
        <v>261</v>
      </c>
      <c r="D6" s="20">
        <v>126</v>
      </c>
      <c r="F6" s="23">
        <f>GETPIVOTDATA("مدة التسليم",$F$3)</f>
        <v>19.04854368932039</v>
      </c>
      <c r="J6" s="25">
        <f>GETPIVOTDATA("سعر البيع ",$J$3)</f>
        <v>1282885.81544</v>
      </c>
      <c r="L6" s="26">
        <f>GETPIVOTDATA("سعر البيع ",$L$3)</f>
        <v>10263.08652352</v>
      </c>
      <c r="N6" s="22" t="s">
        <v>36</v>
      </c>
      <c r="O6" s="20">
        <v>13</v>
      </c>
      <c r="Q6" s="16" t="s">
        <v>240</v>
      </c>
      <c r="R6" s="16">
        <v>1</v>
      </c>
      <c r="T6" s="22" t="s">
        <v>112</v>
      </c>
      <c r="U6" s="20">
        <v>6</v>
      </c>
      <c r="W6" s="22" t="s">
        <v>259</v>
      </c>
      <c r="X6" s="27">
        <v>0.42857142857142855</v>
      </c>
      <c r="Z6" s="22" t="s">
        <v>261</v>
      </c>
      <c r="AA6" s="29">
        <v>1</v>
      </c>
      <c r="AC6" s="22" t="s">
        <v>227</v>
      </c>
      <c r="AD6" s="20">
        <v>11</v>
      </c>
      <c r="AF6" s="22" t="s">
        <v>261</v>
      </c>
      <c r="AG6" s="20">
        <v>126</v>
      </c>
    </row>
    <row r="7" spans="1:33" x14ac:dyDescent="0.3">
      <c r="N7" s="22" t="s">
        <v>27</v>
      </c>
      <c r="O7" s="20">
        <v>9</v>
      </c>
      <c r="Q7" s="16" t="s">
        <v>103</v>
      </c>
      <c r="R7" s="16">
        <v>15</v>
      </c>
      <c r="T7" s="22" t="s">
        <v>110</v>
      </c>
      <c r="U7" s="20">
        <v>3</v>
      </c>
      <c r="W7" s="22" t="s">
        <v>256</v>
      </c>
      <c r="X7" s="27">
        <v>7.1428571428571425E-2</v>
      </c>
      <c r="AC7" s="22" t="s">
        <v>135</v>
      </c>
      <c r="AD7" s="20">
        <v>8</v>
      </c>
    </row>
    <row r="8" spans="1:33" x14ac:dyDescent="0.3">
      <c r="N8" s="22" t="s">
        <v>135</v>
      </c>
      <c r="O8" s="20">
        <v>4</v>
      </c>
      <c r="Q8" s="16" t="s">
        <v>204</v>
      </c>
      <c r="R8" s="16">
        <v>17</v>
      </c>
      <c r="T8" s="22" t="s">
        <v>161</v>
      </c>
      <c r="U8" s="20">
        <v>3</v>
      </c>
      <c r="W8" s="22" t="s">
        <v>261</v>
      </c>
      <c r="X8" s="27">
        <v>1</v>
      </c>
      <c r="AC8" s="22" t="s">
        <v>223</v>
      </c>
      <c r="AD8" s="20">
        <v>5</v>
      </c>
    </row>
    <row r="9" spans="1:33" x14ac:dyDescent="0.3">
      <c r="N9" s="22" t="s">
        <v>23</v>
      </c>
      <c r="O9" s="20">
        <v>3</v>
      </c>
      <c r="Q9" s="16" t="s">
        <v>94</v>
      </c>
      <c r="R9" s="16">
        <v>91</v>
      </c>
      <c r="T9" s="22" t="s">
        <v>152</v>
      </c>
      <c r="U9" s="20">
        <v>2</v>
      </c>
      <c r="AC9" s="22" t="s">
        <v>225</v>
      </c>
      <c r="AD9" s="20">
        <v>3</v>
      </c>
    </row>
    <row r="10" spans="1:33" x14ac:dyDescent="0.3">
      <c r="N10" s="22" t="s">
        <v>168</v>
      </c>
      <c r="O10" s="20">
        <v>2</v>
      </c>
      <c r="Q10" s="16" t="s">
        <v>261</v>
      </c>
      <c r="R10">
        <v>126</v>
      </c>
      <c r="T10" s="22" t="s">
        <v>114</v>
      </c>
      <c r="U10" s="20">
        <v>2</v>
      </c>
      <c r="AC10" s="22" t="s">
        <v>224</v>
      </c>
      <c r="AD10" s="20">
        <v>2</v>
      </c>
    </row>
    <row r="11" spans="1:33" x14ac:dyDescent="0.3">
      <c r="N11" s="22" t="s">
        <v>157</v>
      </c>
      <c r="O11" s="20">
        <v>2</v>
      </c>
      <c r="T11" s="22" t="s">
        <v>128</v>
      </c>
      <c r="U11" s="20">
        <v>2</v>
      </c>
      <c r="X11" s="20">
        <f>GETPIVOTDATA("حالة الطلب",$W$3,"حالة الطلب","Early") + GETPIVOTDATA("حالة الطلب",$W$3,"حالة الطلب","Late") + GETPIVOTDATA("حالة الطلب",$W$3,"حالة الطلب","On Time")</f>
        <v>0.81746031746031744</v>
      </c>
      <c r="AC11" s="22" t="s">
        <v>229</v>
      </c>
      <c r="AD11" s="20">
        <v>1</v>
      </c>
    </row>
    <row r="12" spans="1:33" x14ac:dyDescent="0.3">
      <c r="N12" s="22" t="s">
        <v>182</v>
      </c>
      <c r="O12" s="20">
        <v>1</v>
      </c>
      <c r="T12" s="22" t="s">
        <v>113</v>
      </c>
      <c r="U12" s="20">
        <v>2</v>
      </c>
      <c r="AC12" s="22" t="s">
        <v>228</v>
      </c>
      <c r="AD12" s="20">
        <v>1</v>
      </c>
    </row>
    <row r="13" spans="1:33" x14ac:dyDescent="0.3">
      <c r="N13" s="22" t="s">
        <v>261</v>
      </c>
      <c r="O13" s="20">
        <v>126</v>
      </c>
      <c r="T13" s="22" t="s">
        <v>142</v>
      </c>
      <c r="U13" s="20">
        <v>1</v>
      </c>
      <c r="W13" s="20" t="s">
        <v>280</v>
      </c>
      <c r="X13" s="28">
        <f>GETPIVOTDATA("حالة الطلب",$W$3,"حالة الطلب","On Time") / X11</f>
        <v>8.7378640776699032E-2</v>
      </c>
      <c r="AC13" s="22" t="s">
        <v>261</v>
      </c>
      <c r="AD13" s="20">
        <v>126</v>
      </c>
    </row>
    <row r="14" spans="1:33" x14ac:dyDescent="0.3">
      <c r="T14" s="22" t="s">
        <v>137</v>
      </c>
      <c r="U14" s="20">
        <v>1</v>
      </c>
    </row>
    <row r="15" spans="1:33" x14ac:dyDescent="0.3">
      <c r="T15" s="22" t="s">
        <v>261</v>
      </c>
      <c r="U15" s="20">
        <v>104</v>
      </c>
    </row>
    <row r="17" spans="28:28" x14ac:dyDescent="0.3">
      <c r="AB17" s="17" t="s">
        <v>281</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DE297-DFF7-42AE-8E26-17CC97A25A13}">
  <dimension ref="A1"/>
  <sheetViews>
    <sheetView zoomScale="51" zoomScaleNormal="51" zoomScaleSheetLayoutView="50" workbookViewId="0">
      <selection activeCell="AQ28" sqref="AQ28"/>
    </sheetView>
  </sheetViews>
  <sheetFormatPr defaultRowHeight="14.4" x14ac:dyDescent="0.3"/>
  <cols>
    <col min="1" max="4" width="8.88671875" style="19" customWidth="1"/>
    <col min="5" max="16384" width="8.88671875" style="1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3D284F-1288-4D98-B6E5-F92E7C8A10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Sales Data</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haitham salah yassin</cp:lastModifiedBy>
  <dcterms:created xsi:type="dcterms:W3CDTF">2015-06-05T18:17:20Z</dcterms:created>
  <dcterms:modified xsi:type="dcterms:W3CDTF">2026-07-10T17:42:17Z</dcterms:modified>
</cp:coreProperties>
</file>